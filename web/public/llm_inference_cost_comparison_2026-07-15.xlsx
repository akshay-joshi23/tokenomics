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cb955f799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ff5c5608e5848c2"/>
    <x:sheet xmlns:r="http://schemas.openxmlformats.org/officeDocument/2006/relationships" name="Dashboard" sheetId="2" r:id="R047cd554f5654a56"/>
    <x:sheet xmlns:r="http://schemas.openxmlformats.org/officeDocument/2006/relationships" name="Assumptions" sheetId="3" r:id="R972623f11c2340b6"/>
    <x:sheet xmlns:r="http://schemas.openxmlformats.org/officeDocument/2006/relationships" name="API Prices" sheetId="4" r:id="R51049e41fee5416b"/>
    <x:sheet xmlns:r="http://schemas.openxmlformats.org/officeDocument/2006/relationships" name="GPU Prices" sheetId="5" r:id="Rc6704f10af9146f7"/>
    <x:sheet xmlns:r="http://schemas.openxmlformats.org/officeDocument/2006/relationships" name="Infra Model" sheetId="6" r:id="R022ef9a0f21c48f6"/>
    <x:sheet xmlns:r="http://schemas.openxmlformats.org/officeDocument/2006/relationships" name="Cost Curves" sheetId="7" r:id="Rf02ff4a963e3430d"/>
    <x:sheet xmlns:r="http://schemas.openxmlformats.org/officeDocument/2006/relationships" name="Market Map" sheetId="8" r:id="R786e5900765e4579"/>
    <x:sheet xmlns:r="http://schemas.openxmlformats.org/officeDocument/2006/relationships" name="Sources &amp; Notes" sheetId="9" r:id="R6e151e4b636c49ae"/>
  </x:sheets>
</x:workbook>
</file>

<file path=xl/comments1.xml><?xml version="1.0" encoding="utf-8"?>
<x:comments xmlns:x="http://schemas.openxmlformats.org/spreadsheetml/2006/main">
  <x:authors>
    <x:author>tc={FB918558-2A63-7B94-551A-43464059F7DA}</x:author>
    <x:author>tc={5127B996-62C3-9CEE-5AF4-5AB91AE807FD}</x:author>
    <x:author>tc={9DA14444-8D0B-934E-E0E8-D8DFA52931B0}</x:author>
  </x:authors>
  <x:commentList>
    <x:comment ref="B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source: U.S. EIA Electric Power Monthly, April 2026 commercial average. Accessed 2026-07-15.</x:t>
        </x:r>
      </x:text>
    </x:comment>
    <x:comment ref="B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source: Uptime Institute 2025 regional view, North America average PUE. Accessed 2026-07-15.</x:t>
        </x:r>
      </x:text>
    </x:comment>
    <x:comment ref="B1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IDACORE East megawatt-scale all-in rate. Applying $250/kW-month to one server is a modeled extrapolation, not a retail quote.</x:t>
        </x:r>
      </x:text>
    </x:comment>
  </x:commentList>
</x:comments>
</file>

<file path=xl/comments2.xml><?xml version="1.0" encoding="utf-8"?>
<x:comments xmlns:x="http://schemas.openxmlformats.org/spreadsheetml/2006/main">
  <x:authors>
    <x:author>tc={228E71E2-FB6D-27AA-283A-32A5EE9B4691}</x:author>
    <x:author>tc={348DFE21-1C1F-D204-C4DC-4A103FA3D69D}</x:author>
  </x:authors>
  <x:commentList>
    <x:comment ref="K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Published Supermicro starting price. The monthly economic cost is estimated using the editable asset-life and residual-value assumptions.</x:t>
        </x:r>
      </x:text>
    </x:comment>
    <x:comment ref="M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Estimated aggregate prefill throughput: 20,000 input tokens × concurrency 5 ÷ published TTFT × four modeled TP2 replicas. Not a directly published node measurement.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%"/>
    <x:numFmt numFmtId="202" formatCode="$0.0000"/>
    <x:numFmt numFmtId="203" formatCode="0.00"/>
    <x:numFmt numFmtId="204" formatCode="$#,##0"/>
    <x:numFmt numFmtId="205" formatCode="$#,##0.0000"/>
    <x:numFmt numFmtId="206" formatCode="0.0%"/>
    <x:numFmt numFmtId="207" formatCode="yyyy-mm-dd hh:mm"/>
    <x:numFmt numFmtId="208" formatCode="$#,##0.00"/>
    <x:numFmt numFmtId="209" formatCode="#,##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b/>
      <x:sz val="12"/>
      <x:color rgb="FF0F766E"/>
      <x:name val="Carlito"/>
    </x:font>
    <x:font>
      <x:b/>
      <x:sz val="11"/>
      <x:color rgb="FF172B4D"/>
      <x:name val="Carlito"/>
    </x:font>
    <x:font>
      <x:i/>
      <x:sz val="11"/>
      <x:color rgb="FF52616B"/>
      <x:name val="Carlito"/>
    </x:font>
    <x:font>
      <x:b/>
      <x:sz val="11"/>
      <x:color rgb="FFD97706"/>
      <x:name val="Carlito"/>
    </x:font>
    <x:font>
      <x:b/>
      <x:sz val="9"/>
      <x:color rgb="FFFFFFFF"/>
      <x:name val="Carlito"/>
    </x:font>
    <x:font>
      <x:sz val="11"/>
      <x:color rgb="FF2563EB"/>
      <x:name val="Carlito"/>
    </x:font>
    <x:font>
      <x:b/>
      <x:sz val="11"/>
      <x:color rgb="FF52616B"/>
      <x:name val="Carlito"/>
    </x:font>
    <x:font>
      <x:sz val="11"/>
      <x:color rgb="FF172B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0F766E"/>
      </x:patternFill>
    </x:fill>
    <x:fill>
      <x:patternFill patternType="solid">
        <x:fgColor rgb="FFD97706"/>
      </x:patternFill>
    </x:fill>
    <x:fill>
      <x:patternFill patternType="solid">
        <x:fgColor rgb="FFFFF4CC"/>
      </x:patternFill>
    </x:fill>
    <x:fill>
      <x:patternFill patternType="solid">
        <x:fgColor rgb="FFE8F1FA"/>
      </x:patternFill>
    </x:fill>
    <x:fill>
      <x:patternFill patternType="solid">
        <x:fgColor rgb="FFFFF1D6"/>
      </x:patternFill>
    </x:fill>
    <x:fill>
      <x:patternFill patternType="solid">
        <x:fgColor rgb="FFF5F7FA"/>
      </x:patternFill>
    </x:fill>
  </x:fills>
  <x:borders count="12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204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9" fillId="6" borderId="0" xfId="0" applyNumberFormat="1" applyFont="1" applyFill="1" applyBorder="1"/>
    <x:xf numFmtId="200" fontId="9" fillId="7" borderId="0" xfId="0" applyNumberFormat="1" applyFont="1" applyFill="1" applyBorder="1"/>
    <x:xf numFmtId="201" fontId="9" fillId="6" borderId="0" xfId="0" applyNumberFormat="1" applyFont="1" applyFill="1" applyBorder="1"/>
    <x:xf numFmtId="202" fontId="9" fillId="6" borderId="0" xfId="0" applyNumberFormat="1" applyFont="1" applyFill="1" applyBorder="1"/>
    <x:xf numFmtId="203" fontId="9" fillId="6" borderId="0" xfId="0" applyNumberFormat="1" applyFont="1" applyFill="1" applyBorder="1"/>
    <x:xf numFmtId="204" fontId="9" fillId="6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5" fontId="0" fillId="0" borderId="2" xfId="0" applyNumberFormat="1" applyFont="1" applyFill="1" applyBorder="1"/>
    <x:xf numFmtId="205" fontId="0" fillId="0" borderId="0" xfId="0" applyNumberFormat="1" applyFont="1" applyFill="1" applyBorder="1"/>
    <x:xf numFmtId="200" fontId="9" fillId="6" borderId="0" xfId="0" applyNumberFormat="1" applyFont="1" applyFill="1" applyBorder="1" applyAlignment="1">
      <x:alignment wrapText="1"/>
    </x:xf>
    <x:xf numFmtId="200" fontId="9" fillId="7" borderId="0" xfId="0" applyNumberFormat="1" applyFont="1" applyFill="1" applyBorder="1" applyAlignment="1">
      <x:alignment wrapText="1"/>
    </x:xf>
    <x:xf numFmtId="201" fontId="9" fillId="6" borderId="0" xfId="0" applyNumberFormat="1" applyFont="1" applyFill="1" applyBorder="1" applyAlignment="1">
      <x:alignment wrapText="1"/>
    </x:xf>
    <x:xf numFmtId="202" fontId="9" fillId="6" borderId="0" xfId="0" applyNumberFormat="1" applyFont="1" applyFill="1" applyBorder="1" applyAlignment="1">
      <x:alignment wrapText="1"/>
    </x:xf>
    <x:xf numFmtId="203" fontId="9" fillId="6" borderId="0" xfId="0" applyNumberFormat="1" applyFont="1" applyFill="1" applyBorder="1" applyAlignment="1">
      <x:alignment wrapText="1"/>
    </x:xf>
    <x:xf numFmtId="204" fontId="9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5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2" fontId="0" fillId="7" borderId="0" xfId="0" applyNumberFormat="1" applyFont="1" applyFill="1" applyBorder="1"/>
    <x:xf numFmtId="206" fontId="0" fillId="7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6" fontId="0" fillId="7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8" fontId="0" fillId="8" borderId="0" xfId="0" applyNumberFormat="1" applyFont="1" applyFill="1" applyBorder="1"/>
    <x:xf numFmtId="203" fontId="0" fillId="8" borderId="0" xfId="0" applyNumberFormat="1" applyFont="1" applyFill="1" applyBorder="1"/>
    <x:xf numFmtId="209" fontId="0" fillId="8" borderId="0" xfId="0" applyNumberFormat="1" applyFont="1" applyFill="1" applyBorder="1"/>
    <x:xf numFmtId="202" fontId="0" fillId="8" borderId="0" xfId="0" applyNumberFormat="1" applyFont="1" applyFill="1" applyBorder="1"/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8" fontId="0" fillId="8" borderId="0" xfId="0" applyNumberFormat="1" applyFont="1" applyFill="1" applyBorder="1" applyAlignment="1">
      <x:alignment wrapText="1"/>
    </x:xf>
    <x:xf numFmtId="203" fontId="0" fillId="8" borderId="0" xfId="0" applyNumberFormat="1" applyFont="1" applyFill="1" applyBorder="1" applyAlignment="1">
      <x:alignment wrapText="1"/>
    </x:xf>
    <x:xf numFmtId="209" fontId="0" fillId="8" borderId="0" xfId="0" applyNumberFormat="1" applyFont="1" applyFill="1" applyBorder="1" applyAlignment="1">
      <x:alignment wrapText="1"/>
    </x:xf>
    <x:xf numFmtId="202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10" fillId="9" borderId="4" xfId="0" applyNumberFormat="1" applyFont="1" applyFill="1" applyBorder="1"/>
    <x:xf numFmtId="0" fontId="10" fillId="9" borderId="7" xfId="0" applyNumberFormat="1" applyFont="1" applyFill="1" applyBorder="1"/>
    <x:xf numFmtId="0" fontId="10" fillId="9" borderId="9" xfId="0" applyNumberFormat="1" applyFont="1" applyFill="1" applyBorder="1"/>
    <x:xf numFmtId="0" fontId="10" fillId="9" borderId="5" xfId="0" applyNumberFormat="1" applyFont="1" applyFill="1" applyBorder="1"/>
    <x:xf numFmtId="0" fontId="10" fillId="9" borderId="0" xfId="0" applyNumberFormat="1" applyFont="1" applyFill="1" applyBorder="1"/>
    <x:xf numFmtId="0" fontId="10" fillId="9" borderId="10" xfId="0" applyNumberFormat="1" applyFont="1" applyFill="1" applyBorder="1"/>
    <x:xf numFmtId="200" fontId="0" fillId="9" borderId="5" xfId="0" applyNumberFormat="1" applyFont="1" applyFill="1" applyBorder="1"/>
    <x:xf numFmtId="200" fontId="0" fillId="9" borderId="0" xfId="0" applyNumberFormat="1" applyFont="1" applyFill="1" applyBorder="1"/>
    <x:xf numFmtId="200" fontId="0" fillId="9" borderId="6" xfId="0" applyNumberFormat="1" applyFont="1" applyFill="1" applyBorder="1"/>
    <x:xf numFmtId="201" fontId="0" fillId="9" borderId="8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4" xfId="0" applyNumberFormat="1" applyFont="1" applyFill="1" applyBorder="1" applyAlignment="1">
      <x:alignment wrapText="1"/>
    </x:xf>
    <x:xf numFmtId="0" fontId="11" fillId="8" borderId="5" xfId="0" applyNumberFormat="1" applyFont="1" applyFill="1" applyBorder="1" applyAlignment="1">
      <x:alignment wrapText="1"/>
    </x:xf>
    <x:xf numFmtId="0" fontId="11" fillId="8" borderId="6" xfId="0" applyNumberFormat="1" applyFont="1" applyFill="1" applyBorder="1" applyAlignment="1">
      <x:alignment wrapText="1"/>
    </x:xf>
    <x:xf numFmtId="0" fontId="11" fillId="8" borderId="7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wrapText="1"/>
    </x:xf>
    <x:xf numFmtId="0" fontId="11" fillId="8" borderId="10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wrapText="1"/>
    </x:xf>
    <x:xf numFmtId="0" fontId="11" fillId="8" borderId="4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6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9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color rgb="FF15803D"/>
      </x:font>
      <x:fill>
        <x:patternFill patternType="solid">
          <x:bgColor rgb="FFE4F4E8"/>
        </x:patternFill>
      </x:fill>
    </x:dxf>
    <x:dxf>
      <x:font>
        <x:color rgb="FFB91C1C"/>
      </x:font>
      <x:fill>
        <x:patternFill patternType="solid">
          <x:bgColor rgb="FFFDE8E8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15803D"/>
      </x:font>
      <x:fill>
        <x:patternFill patternType="solid">
          <x:bgColor rgb="FFE4F4E8"/>
        </x:patternFill>
      </x:fill>
    </x:dxf>
    <x:dxf>
      <x:font>
        <x:color rgb="FFB91C1C"/>
      </x:font>
      <x:fill>
        <x:patternFill patternType="solid">
          <x:bgColor rgb="FFFDE8E8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15803D"/>
      </x:font>
      <x:fill>
        <x:patternFill patternType="solid">
          <x:bgColor rgb="FFE4F4E8"/>
        </x:patternFill>
      </x:fill>
    </x:dxf>
    <x:dxf>
      <x:font>
        <x:color rgb="FFB91C1C"/>
      </x:font>
      <x:fill>
        <x:patternFill patternType="solid">
          <x:bgColor rgb="FFFDE8E8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15803D"/>
      </x:font>
      <x:fill>
        <x:patternFill patternType="solid">
          <x:bgColor rgb="FFE4F4E8"/>
        </x:patternFill>
      </x:fill>
    </x:dxf>
    <x:dxf>
      <x:font>
        <x:color rgb="FFB91C1C"/>
      </x:font>
      <x:fill>
        <x:patternFill patternType="solid">
          <x:bgColor rgb="FFFDE8E8"/>
        </x:patternFill>
      </x:fill>
    </x:dxf>
    <x:dxf>
      <x:font>
        <x:color rgb="FF15803D"/>
      </x:font>
      <x:fill>
        <x:patternFill patternType="solid">
          <x:bgColor rgb="FFE4F4E8"/>
        </x:patternFill>
      </x:fill>
    </x:dxf>
    <x:dxf>
      <x:font>
        <x:color rgb="FFB91C1C"/>
      </x:font>
      <x:fill>
        <x:patternFill patternType="solid">
          <x:bgColor rgb="FFFDE8E8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  <x:dxf>
      <x:font>
        <x:color rgb="FFD97706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b65f3b3554bf0" /><Relationship Type="http://schemas.openxmlformats.org/officeDocument/2006/relationships/theme" Target="/xl/theme/theme1.xml" Id="R6048b5d104084b79" /><Relationship Type="http://schemas.microsoft.com/office/2022/11/relationships/FeaturePropertyBag" Target="/xl/featurePropertyBag/featurePropertyBag.xml" Id="Ra99869be01524289" /><Relationship Type="http://schemas.openxmlformats.org/officeDocument/2006/relationships/sharedStrings" Target="/xl/sharedStrings.xml" Id="Rc81fb7faf9bd40e5" /><Relationship Type="http://schemas.openxmlformats.org/officeDocument/2006/relationships/worksheet" Target="/xl/worksheets/sheet1.xml" Id="R1ff5c5608e5848c2" /><Relationship Type="http://schemas.openxmlformats.org/officeDocument/2006/relationships/worksheet" Target="/xl/worksheets/sheet2.xml" Id="R047cd554f5654a56" /><Relationship Type="http://schemas.openxmlformats.org/officeDocument/2006/relationships/worksheet" Target="/xl/worksheets/sheet3.xml" Id="R972623f11c2340b6" /><Relationship Type="http://schemas.openxmlformats.org/officeDocument/2006/relationships/worksheet" Target="/xl/worksheets/sheet4.xml" Id="R51049e41fee5416b" /><Relationship Type="http://schemas.openxmlformats.org/officeDocument/2006/relationships/worksheet" Target="/xl/worksheets/sheet5.xml" Id="Rc6704f10af9146f7" /><Relationship Type="http://schemas.openxmlformats.org/officeDocument/2006/relationships/worksheet" Target="/xl/worksheets/sheet6.xml" Id="R022ef9a0f21c48f6" /><Relationship Type="http://schemas.openxmlformats.org/officeDocument/2006/relationships/worksheet" Target="/xl/worksheets/sheet7.xml" Id="Rf02ff4a963e3430d" /><Relationship Type="http://schemas.openxmlformats.org/officeDocument/2006/relationships/worksheet" Target="/xl/worksheets/sheet8.xml" Id="R786e5900765e4579" /><Relationship Type="http://schemas.openxmlformats.org/officeDocument/2006/relationships/worksheet" Target="/xl/worksheets/sheet9.xml" Id="R6e151e4b636c49ae" /><Relationship Type="http://schemas.microsoft.com/office/2017/10/relationships/person" Target="/xl/persons/person.xml" Id="Rc96a9350d67c44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936170334a74b40" /><Relationship Type="http://schemas.openxmlformats.org/officeDocument/2006/relationships/chart" Target="/xl/drawings/charts/chart2.xml" Id="R97a1ed4e090849c9" /><Relationship Type="http://schemas.openxmlformats.org/officeDocument/2006/relationships/chart" Target="/xl/drawings/charts/chart3.xml" Id="R17d699e6b03743c3" /><Relationship Type="http://schemas.openxmlformats.org/officeDocument/2006/relationships/chart" Target="/xl/drawings/charts/chart4.xml" Id="R6269d6a48ffa49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Total monthly cost vs monthly token usage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GPT-5.6 Sol — published</c:v>
          </c:tx>
          <c:spPr>
            <a:solidFill xmlns:a="http://schemas.openxmlformats.org/drawingml/2006/main">
              <a:srgbClr val="1D4ED8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Curves'!$C$5:$C$13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Claude Sonnet 5 — published intro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Curves'!$D$5:$D$13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Gemini 3.1 Pro — published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Curves'!$E$5:$E$13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Grok 4.5 — published</c:v>
          </c:tx>
          <c:spPr>
            <a:solidFill xmlns:a="http://schemas.openxmlformats.org/drawingml/2006/main">
              <a:srgbClr val="DB2777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Curves'!$F$5:$F$13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DeepSeek V4 Pro direct — published</c:v>
          </c:tx>
          <c:spPr>
            <a:solidFill xmlns:a="http://schemas.openxmlformats.org/drawingml/2006/main">
              <a:srgbClr val="15803D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Curves'!$G$5:$G$13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Groq GPT-OSS 120B — published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Curves'!$H$5:$H$13</c:f>
              <c:numCache>
                <c:formatCode>$#,##0</c:formatCode>
                <c:ptCount val="0"/>
              </c:numCache>
            </c:numRef>
          </c:val>
        </c:ser>
        <c:ser>
          <c:idx val="6"/>
          <c:order val="6"/>
          <c:tx>
            <c:v>AWS 8xH200 — estimated</c:v>
          </c:tx>
          <c:spPr>
            <a:solidFill xmlns:a="http://schemas.openxmlformats.org/drawingml/2006/main">
              <a:srgbClr val="64748B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Curves'!$I$5:$I$13</c:f>
              <c:numCache>
                <c:formatCode>$#,##0</c:formatCode>
                <c:ptCount val="0"/>
              </c:numCache>
            </c:numRef>
          </c:val>
        </c:ser>
        <c:ser>
          <c:idx val="7"/>
          <c:order val="7"/>
          <c:tx>
            <c:v>Runpod 8xH200 — estimated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Curves'!$J$5:$J$13</c:f>
              <c:numCache>
                <c:formatCode>$#,##0</c:formatCode>
                <c:ptCount val="0"/>
              </c:numCache>
            </c:numRef>
          </c:val>
        </c:ser>
        <c:ser>
          <c:idx val="8"/>
          <c:order val="8"/>
          <c:tx>
            <c:v>Akash 8xH200 — live+estimated</c:v>
          </c:tx>
          <c:spPr>
            <a:solidFill xmlns:a="http://schemas.openxmlformats.org/drawingml/2006/main">
              <a:srgbClr val="B45309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Curves'!$K$5:$K$13</c:f>
              <c:numCache>
                <c:formatCode>$#,##0</c:formatCode>
                <c:ptCount val="0"/>
              </c:numCache>
            </c:numRef>
          </c:val>
        </c:ser>
        <c:ser>
          <c:idx val="9"/>
          <c:order val="9"/>
          <c:tx>
            <c:v>Owned colo 8xH200 — estimated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Curves'!$L$5:$L$13</c:f>
              <c:numCache>
                <c:formatCode>$#,##0</c:formatCode>
                <c:ptCount val="0"/>
              </c:numCache>
            </c:numRef>
          </c:val>
        </c:ser>
        <c:ser>
          <c:idx val="10"/>
          <c:order val="10"/>
          <c:tx>
            <c:v>Local RTX PRO 6000 — estimated</c:v>
          </c:tx>
          <c:spPr>
            <a:solidFill xmlns:a="http://schemas.openxmlformats.org/drawingml/2006/main">
              <a:srgbClr val="111827"/>
            </a:solidFill>
          </c:spPr>
          <c:marker>
            <c:symbol val="none"/>
          </c:marker>
          <c:cat>
            <c:strRef>
              <c:f>'Cost Curves'!$A$5:$A$13</c:f>
              <c:strCache>
                <c:ptCount val="0"/>
              </c:strCache>
            </c:strRef>
          </c:cat>
          <c:val>
            <c:numRef>
              <c:f>'Cost Curves'!$M$5:$M$13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Effective $/1M tokens vs usage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GPT-5.6 Sol — published</c:v>
          </c:tx>
          <c:spPr>
            <a:solidFill xmlns:a="http://schemas.openxmlformats.org/drawingml/2006/main">
              <a:srgbClr val="1D4ED8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Curves'!$C$17:$C$25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Claude Sonnet 5 — published intro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Curves'!$D$17:$D$25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Gemini 3.1 Pro — published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Curves'!$E$17:$E$25</c:f>
              <c:numCache>
                <c:formatCode>$0.00</c:formatCode>
                <c:ptCount val="0"/>
              </c:numCache>
            </c:numRef>
          </c:val>
        </c:ser>
        <c:ser>
          <c:idx val="3"/>
          <c:order val="3"/>
          <c:tx>
            <c:v>Grok 4.5 — published</c:v>
          </c:tx>
          <c:spPr>
            <a:solidFill xmlns:a="http://schemas.openxmlformats.org/drawingml/2006/main">
              <a:srgbClr val="DB2777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Curves'!$F$17:$F$25</c:f>
              <c:numCache>
                <c:formatCode>$0.00</c:formatCode>
                <c:ptCount val="0"/>
              </c:numCache>
            </c:numRef>
          </c:val>
        </c:ser>
        <c:ser>
          <c:idx val="4"/>
          <c:order val="4"/>
          <c:tx>
            <c:v>DeepSeek V4 Pro direct — published</c:v>
          </c:tx>
          <c:spPr>
            <a:solidFill xmlns:a="http://schemas.openxmlformats.org/drawingml/2006/main">
              <a:srgbClr val="15803D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Curves'!$G$17:$G$25</c:f>
              <c:numCache>
                <c:formatCode>$0.00</c:formatCode>
                <c:ptCount val="0"/>
              </c:numCache>
            </c:numRef>
          </c:val>
        </c:ser>
        <c:ser>
          <c:idx val="5"/>
          <c:order val="5"/>
          <c:tx>
            <c:v>Groq GPT-OSS 120B — published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Curves'!$H$17:$H$25</c:f>
              <c:numCache>
                <c:formatCode>$0.00</c:formatCode>
                <c:ptCount val="0"/>
              </c:numCache>
            </c:numRef>
          </c:val>
        </c:ser>
        <c:ser>
          <c:idx val="6"/>
          <c:order val="6"/>
          <c:tx>
            <c:v>AWS 8xH200 — estimated</c:v>
          </c:tx>
          <c:spPr>
            <a:solidFill xmlns:a="http://schemas.openxmlformats.org/drawingml/2006/main">
              <a:srgbClr val="64748B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Curves'!$I$17:$I$25</c:f>
              <c:numCache>
                <c:formatCode>$0.00</c:formatCode>
                <c:ptCount val="0"/>
              </c:numCache>
            </c:numRef>
          </c:val>
        </c:ser>
        <c:ser>
          <c:idx val="7"/>
          <c:order val="7"/>
          <c:tx>
            <c:v>Runpod 8xH200 — estimated</c:v>
          </c:tx>
          <c:spPr>
            <a:solidFill xmlns:a="http://schemas.openxmlformats.org/drawingml/2006/main">
              <a:srgbClr val="F97316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Curves'!$J$17:$J$25</c:f>
              <c:numCache>
                <c:formatCode>$0.00</c:formatCode>
                <c:ptCount val="0"/>
              </c:numCache>
            </c:numRef>
          </c:val>
        </c:ser>
        <c:ser>
          <c:idx val="8"/>
          <c:order val="8"/>
          <c:tx>
            <c:v>Akash 8xH200 — live+estimated</c:v>
          </c:tx>
          <c:spPr>
            <a:solidFill xmlns:a="http://schemas.openxmlformats.org/drawingml/2006/main">
              <a:srgbClr val="B45309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Curves'!$K$17:$K$25</c:f>
              <c:numCache>
                <c:formatCode>$0.00</c:formatCode>
                <c:ptCount val="0"/>
              </c:numCache>
            </c:numRef>
          </c:val>
        </c:ser>
        <c:ser>
          <c:idx val="9"/>
          <c:order val="9"/>
          <c:tx>
            <c:v>Owned colo 8xH200 — estimated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Curves'!$L$17:$L$25</c:f>
              <c:numCache>
                <c:formatCode>$0.00</c:formatCode>
                <c:ptCount val="0"/>
              </c:numCache>
            </c:numRef>
          </c:val>
        </c:ser>
        <c:ser>
          <c:idx val="10"/>
          <c:order val="10"/>
          <c:tx>
            <c:v>Local RTX PRO 6000 — estimated</c:v>
          </c:tx>
          <c:spPr>
            <a:solidFill xmlns:a="http://schemas.openxmlformats.org/drawingml/2006/main">
              <a:srgbClr val="111827"/>
            </a:solidFill>
          </c:spPr>
          <c:marker>
            <c:symbol val="none"/>
          </c:marker>
          <c:cat>
            <c:strRef>
              <c:f>'Cost Curves'!$A$17:$A$25</c:f>
              <c:strCache>
                <c:ptCount val="0"/>
              </c:strCache>
            </c:strRef>
          </c:cat>
          <c:val>
            <c:numRef>
              <c:f>'Cost Curves'!$M$17:$M$25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36-month cumulative cash cost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GPT-5.6 Sol — published</c:v>
          </c:tx>
          <c:spPr>
            <a:solidFill xmlns:a="http://schemas.openxmlformats.org/drawingml/2006/main">
              <a:srgbClr val="1D4ED8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Curves'!$C$29:$C$37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Claude Sonnet 5 — published intro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Curves'!$D$29:$D$37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Gemini 3.1 Pro — published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Curves'!$E$29:$E$37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DeepSeek V4 Pro direct — published</c:v>
          </c:tx>
          <c:spPr>
            <a:solidFill xmlns:a="http://schemas.openxmlformats.org/drawingml/2006/main">
              <a:srgbClr val="DB2777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Curves'!$F$29:$F$37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Owned colo 8xH200 — estimated</c:v>
          </c:tx>
          <c:spPr>
            <a:solidFill xmlns:a="http://schemas.openxmlformats.org/drawingml/2006/main">
              <a:srgbClr val="15803D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Curves'!$G$29:$G$37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Local RTX PRO 6000 — estimated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'Cost Curves'!$A$29:$A$37</c:f>
              <c:strCache>
                <c:ptCount val="0"/>
              </c:strCache>
            </c:strRef>
          </c:cat>
          <c:val>
            <c:numRef>
              <c:f>'Cost Curves'!$H$29:$H$37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Published cost per standardized coding request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30K input + 5K output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'Cost Curves'!$A$41:$A$58</c:f>
              <c:strCache>
                <c:ptCount val="0"/>
              </c:strCache>
            </c:strRef>
          </c:cat>
          <c:val>
            <c:numRef>
              <c:f>'Cost Curves'!$B$41:$B$58</c:f>
              <c:numCache>
                <c:formatCode>$0.000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36170334a74b40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a1ed4e090849c9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d699e6b03743c3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69d6a48ffa494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kshay Joshi" id="{793809C5-2B78-4559-AB22-B992831BF79C}"/>
</xltc:personList>
</file>

<file path=xl/tables/table1.xml><?xml version="1.0" encoding="utf-8"?>
<x:table xmlns:x="http://schemas.openxmlformats.org/spreadsheetml/2006/main" id="1" name="ApiPriceTable" displayName="ApiPriceTable" ref="A4:Q28" headerRowCount="1" totalsRowCount="0" totalsRowShown="0">
  <x:tableColumns count="17">
    <x:tableColumn id="1" name="ID"/>
    <x:tableColumn id="2" name="Provider"/>
    <x:tableColumn id="3" name="Model"/>
    <x:tableColumn id="4" name="Category"/>
    <x:tableColumn id="5" name="Capability tier"/>
    <x:tableColumn id="6" name="Pricing mode"/>
    <x:tableColumn id="7" name="Price status"/>
    <x:tableColumn id="8" name="Input $/1M"/>
    <x:tableColumn id="9" name="Cached input $/1M"/>
    <x:tableColumn id="10" name="Output $/1M"/>
    <x:tableColumn id="11" name="30K/5K request—uncached"/>
    <x:tableColumn id="12" name="Request at selected cache share"/>
    <x:tableColumn id="13" name="Blended $/1M—uncached"/>
    <x:tableColumn id="14" name="Input share"/>
    <x:tableColumn id="15" name="Material caveat"/>
    <x:tableColumn id="16" name="Source URL"/>
    <x:tableColumn id="17" name="Access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puPriceTable" displayName="GpuPriceTable" ref="A4:P36" headerRowCount="1" totalsRowCount="0" totalsRowShown="0">
  <x:tableColumns count="16">
    <x:tableColumn id="1" name="ID"/>
    <x:tableColumn id="2" name="Provider"/>
    <x:tableColumn id="3" name="Category"/>
    <x:tableColumn id="4" name="Region"/>
    <x:tableColumn id="5" name="Instance / offer"/>
    <x:tableColumn id="6" name="GPU"/>
    <x:tableColumn id="7" name="GPU count"/>
    <x:tableColumn id="8" name="Memory / GPU (GB)"/>
    <x:tableColumn id="9" name="Node $/hour"/>
    <x:tableColumn id="10" name="Commitment"/>
    <x:tableColumn id="11" name="Price status"/>
    <x:tableColumn id="12" name="Interruptible"/>
    <x:tableColumn id="13" name="Quote timestamp"/>
    <x:tableColumn id="14" name="Caveat"/>
    <x:tableColumn id="15" name="Source URL"/>
    <x:tableColumn id="16" name="Access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fraModelTable" displayName="InfraModelTable" ref="A4:AF17" headerRowCount="1" totalsRowCount="0" totalsRowShown="0">
  <x:tableColumns count="32">
    <x:tableColumn id="1" name="ID"/>
    <x:tableColumn id="2" name="Scenario"/>
    <x:tableColumn id="3" name="Category"/>
    <x:tableColumn id="4" name="Deployment"/>
    <x:tableColumn id="5" name="Region"/>
    <x:tableColumn id="6" name="Model / benchmark profile"/>
    <x:tableColumn id="7" name="Capability note"/>
    <x:tableColumn id="8" name="Hardware"/>
    <x:tableColumn id="9" name="GPU count"/>
    <x:tableColumn id="10" name="Hourly price"/>
    <x:tableColumn id="11" name="Purchase price"/>
    <x:tableColumn id="12" name="Max facility kW"/>
    <x:tableColumn id="13" name="Prefill tok/s"/>
    <x:tableColumn id="14" name="Decode tok/s"/>
    <x:tableColumn id="15" name="Throughput status"/>
    <x:tableColumn id="16" name="Cost method"/>
    <x:tableColumn id="17" name="Economic capex / mo"/>
    <x:tableColumn id="18" name="Energy / mo"/>
    <x:tableColumn id="19" name="Colo / mo"/>
    <x:tableColumn id="20" name="Maintenance / mo"/>
    <x:tableColumn id="21" name="Monthly node cost"/>
    <x:tableColumn id="22" name="Sec / std request"/>
    <x:tableColumn id="23" name="Requests / node / mo"/>
    <x:tableColumn id="24" name="Capacity M total tok / mo"/>
    <x:tableColumn id="25" name="Est. input $/1M"/>
    <x:tableColumn id="26" name="Est. output $/1M"/>
    <x:tableColumn id="27" name="Est. std request"/>
    <x:tableColumn id="28" name="Full-util blended $/1M"/>
    <x:tableColumn id="29" name="Cost status"/>
    <x:tableColumn id="30" name="Price source"/>
    <x:tableColumn id="31" name="Throughput source"/>
    <x:tableColumn id="32" name="Notes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MarketMapTable" displayName="MarketMapTable" ref="A4:H19" headerRowCount="1" totalsRowCount="0" totalsRowShown="0">
  <x:tableColumns count="8">
    <x:tableColumn id="1" name="Route"/>
    <x:tableColumn id="2" name="Billing model"/>
    <x:tableColumn id="3" name="Fixed-cost shape"/>
    <x:tableColumn id="4" name="Price evidence"/>
    <x:tableColumn id="5" name="Ops burden"/>
    <x:tableColumn id="6" name="Best practical fit"/>
    <x:tableColumn id="7" name="Examples"/>
    <x:tableColumn id="8" name="Workbook treatmen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SourceNotesTable" displayName="SourceNotesTable" ref="A4:G22" headerRowCount="1" totalsRowCount="0" totalsRowShown="0">
  <x:tableColumns count="7">
    <x:tableColumn id="1" name="Topic"/>
    <x:tableColumn id="2" name="Observation"/>
    <x:tableColumn id="3" name="Value / condition"/>
    <x:tableColumn id="4" name="Evidence class"/>
    <x:tableColumn id="5" name="Source URL"/>
    <x:tableColumn id="6" name="Access date"/>
    <x:tableColumn id="7" name="Model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4" dT="2026-07-15T09:12:42.532" personId="{793809C5-2B78-4559-AB22-B992831BF79C}" id="{FB918558-2A63-7B94-551A-43464059F7DA}">
    <xltc:text>Published source: U.S. EIA Electric Power Monthly, April 2026 commercial average. Accessed 2026-07-15.</xltc:text>
  </xltc:threadedComment>
  <xltc:threadedComment ref="B15" dT="2026-07-15T09:12:42.533" personId="{793809C5-2B78-4559-AB22-B992831BF79C}" id="{5127B996-62C3-9CEE-5AF4-5AB91AE807FD}">
    <xltc:text>Published source: Uptime Institute 2025 regional view, North America average PUE. Accessed 2026-07-15.</xltc:text>
  </xltc:threadedComment>
  <xltc:threadedComment ref="B17" dT="2026-07-15T09:12:42.533" personId="{793809C5-2B78-4559-AB22-B992831BF79C}" id="{9DA14444-8D0B-934E-E0E8-D8DFA52931B0}">
    <xltc:text>Published IDACORE East megawatt-scale all-in rate. Applying $250/kW-month to one server is a modeled extrapolation, not a retail quote.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K14" dT="2026-07-15T09:12:42.6" personId="{793809C5-2B78-4559-AB22-B992831BF79C}" id="{228E71E2-FB6D-27AA-283A-32A5EE9B4691}">
    <xltc:text>Published Supermicro starting price. The monthly economic cost is estimated using the editable asset-life and residual-value assumptions.</xltc:text>
  </xltc:threadedComment>
  <xltc:threadedComment ref="M5" dT="2026-07-15T09:12:42.6" personId="{793809C5-2B78-4559-AB22-B992831BF79C}" id="{348DFE21-1C1F-D204-C4DC-4A103FA3D69D}">
    <xltc:text>Estimated aggregate prefill throughput: 20,000 input tokens × concurrency 5 ÷ published TTFT × four modeled TP2 replicas. Not a directly published node measurement.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e013743f89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9600da9c1684696" /><Relationship Type="http://schemas.openxmlformats.org/officeDocument/2006/relationships/vmlDrawing" Target="/xl/drawings/vmldrawing.vml" Id="R379f3c1ec1ca4699" /><Relationship Type="http://schemas.microsoft.com/office/2017/10/relationships/threadedComment" Target="/xl/threadedcomments/threadedcomment.xml" Id="R4c5c7b79fca84d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a70fa8d8a77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89413fcba2c4f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11a3dde2b8974189" /><Relationship Type="http://schemas.openxmlformats.org/officeDocument/2006/relationships/vmlDrawing" Target="/xl/drawings/vmldrawing2.vml" Id="Rcd1d71294f544d73" /><Relationship Type="http://schemas.microsoft.com/office/2017/10/relationships/threadedComment" Target="/xl/threadedcomments/threadedcomment2.xml" Id="R9daea249b66e44a1" /><Relationship Type="http://schemas.openxmlformats.org/officeDocument/2006/relationships/table" Target="/xl/tables/table3.xml" Id="R063267cbbb7247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274a52c4480e48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f08be8fcbe7746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LLM inference cost comparison</x:v>
      </x:c>
      <x:c r="B1" s="3" t="str">
        <x:v>LLM inference cost comparison</x:v>
      </x:c>
      <x:c r="C1" s="3" t="str">
        <x:v>LLM inference cost comparison</x:v>
      </x:c>
      <x:c r="D1" s="3" t="str">
        <x:v>LLM inference cost comparison</x:v>
      </x:c>
      <x:c r="E1" s="3" t="str">
        <x:v>LLM inference cost comparison</x:v>
      </x:c>
      <x:c r="F1" s="3" t="str">
        <x:v>LLM inference cost comparison</x:v>
      </x:c>
      <x:c r="G1" s="3" t="str">
        <x:v>LLM inference cost comparison</x:v>
      </x:c>
      <x:c r="H1" s="3" t="str">
        <x:v>LLM inference cost comparison</x:v>
      </x:c>
    </x:row>
    <x:row r="2" ht="30" customHeight="1">
      <x:c r="A2" s="7" t="str">
        <x:v>As of 2026-07-15 • Published token/GPU prices are kept separate from benchmark-derived and analyst-estimated infrastructure economics.</x:v>
      </x:c>
      <x:c r="B2" s="7" t="str">
        <x:v>As of 2026-07-15 • Published token/GPU prices are kept separate from benchmark-derived and analyst-estimated infrastructure economics.</x:v>
      </x:c>
      <x:c r="C2" s="7" t="str">
        <x:v>As of 2026-07-15 • Published token/GPU prices are kept separate from benchmark-derived and analyst-estimated infrastructure economics.</x:v>
      </x:c>
      <x:c r="D2" s="7" t="str">
        <x:v>As of 2026-07-15 • Published token/GPU prices are kept separate from benchmark-derived and analyst-estimated infrastructure economics.</x:v>
      </x:c>
      <x:c r="E2" s="7" t="str">
        <x:v>As of 2026-07-15 • Published token/GPU prices are kept separate from benchmark-derived and analyst-estimated infrastructure economics.</x:v>
      </x:c>
      <x:c r="F2" s="7" t="str">
        <x:v>As of 2026-07-15 • Published token/GPU prices are kept separate from benchmark-derived and analyst-estimated infrastructure economics.</x:v>
      </x:c>
      <x:c r="G2" s="7" t="str">
        <x:v>As of 2026-07-15 • Published token/GPU prices are kept separate from benchmark-derived and analyst-estimated infrastructure economics.</x:v>
      </x:c>
      <x:c r="H2" s="7" t="str">
        <x:v>As of 2026-07-15 • Published token/GPU prices are kept separate from benchmark-derived and analyst-estimated infrastructure economics.</x:v>
      </x:c>
    </x:row>
    <x:row r="4" ht="24" customHeight="1">
      <x:c r="A4" s="10" t="str">
        <x:v>What this workbook answers</x:v>
      </x:c>
      <x:c r="B4" s="10" t="str">
        <x:v>What this workbook answers</x:v>
      </x:c>
      <x:c r="C4" s="10" t="str">
        <x:v>What this workbook answers</x:v>
      </x:c>
      <x:c r="D4" s="10" t="str">
        <x:v>What this workbook answers</x:v>
      </x:c>
      <x:c r="E4" s="10" t="str">
        <x:v>What this workbook answers</x:v>
      </x:c>
      <x:c r="F4" s="10" t="str">
        <x:v>What this workbook answers</x:v>
      </x:c>
      <x:c r="G4" s="10" t="str">
        <x:v>What this workbook answers</x:v>
      </x:c>
      <x:c r="H4" s="10" t="str">
        <x:v>What this workbook answers</x:v>
      </x:c>
    </x:row>
    <x:row r="5" ht="34" customHeight="1">
      <x:c r="A5" s="12" t="str">
        <x:v>1</x:v>
      </x:c>
      <x:c r="B5" s="14" t="str">
        <x:v>What does 1M input tokens, 1M output tokens, and one standardized coding-agent request cost across current APIs?</x:v>
      </x:c>
      <x:c r="C5" s="14"/>
      <x:c r="D5" s="14"/>
      <x:c r="E5" s="14"/>
      <x:c r="F5" s="14"/>
      <x:c r="G5" s="14"/>
      <x:c r="H5" s="14"/>
    </x:row>
    <x:row r="6" ht="34" customHeight="1">
      <x:c r="A6" s="12" t="str">
        <x:v>2</x:v>
      </x:c>
      <x:c r="B6" s="14" t="str">
        <x:v>How do AWS/Azure/GCP, neocloud, DePIN, owned/on-prem, colocation, and workstation costs compare after throughput and utilization?</x:v>
      </x:c>
      <x:c r="C6" s="14"/>
      <x:c r="D6" s="14"/>
      <x:c r="E6" s="14"/>
      <x:c r="F6" s="14"/>
      <x:c r="G6" s="14"/>
      <x:c r="H6" s="14"/>
    </x:row>
    <x:row r="7" ht="34" customHeight="1">
      <x:c r="A7" s="12" t="str">
        <x:v>3</x:v>
      </x:c>
      <x:c r="B7" s="14" t="str">
        <x:v>At what monthly usage does a fixed-cost deployment cross below an API line, and is that crossing below the node's capacity ceiling?</x:v>
      </x:c>
      <x:c r="C7" s="14"/>
      <x:c r="D7" s="14"/>
      <x:c r="E7" s="14"/>
      <x:c r="F7" s="14"/>
      <x:c r="G7" s="14"/>
      <x:c r="H7" s="14"/>
    </x:row>
    <x:row r="8" ht="34" customHeight="1">
      <x:c r="A8" s="12" t="str">
        <x:v>4</x:v>
      </x:c>
      <x:c r="B8" s="14" t="str">
        <x:v>How does the answer change in monthly economic-cost and 36-month cumulative cash views?</x:v>
      </x:c>
      <x:c r="C8" s="14"/>
      <x:c r="D8" s="14"/>
      <x:c r="E8" s="14"/>
      <x:c r="F8" s="14"/>
      <x:c r="G8" s="14"/>
      <x:c r="H8" s="14"/>
    </x:row>
    <x:row r="9" ht="34" customHeight="1">
      <x:c r="A9" s="12" t="str">
        <x:v>5</x:v>
      </x:c>
      <x:c r="B9" s="14" t="str">
        <x:v>Which values are vendor-published, live market quotes, mechanically derived, or analyst estimates?</x:v>
      </x:c>
      <x:c r="C9" s="14"/>
      <x:c r="D9" s="14"/>
      <x:c r="E9" s="14"/>
      <x:c r="F9" s="14"/>
      <x:c r="G9" s="14"/>
      <x:c r="H9" s="14"/>
    </x:row>
    <x:row r="11" ht="24" customHeight="1">
      <x:c r="A11" s="10" t="str">
        <x:v>How to read the curves</x:v>
      </x:c>
      <x:c r="B11" s="10" t="str">
        <x:v>How to read the curves</x:v>
      </x:c>
      <x:c r="C11" s="10" t="str">
        <x:v>How to read the curves</x:v>
      </x:c>
      <x:c r="D11" s="10" t="str">
        <x:v>How to read the curves</x:v>
      </x:c>
      <x:c r="E11" s="10" t="str">
        <x:v>How to read the curves</x:v>
      </x:c>
      <x:c r="F11" s="10" t="str">
        <x:v>How to read the curves</x:v>
      </x:c>
      <x:c r="G11" s="10" t="str">
        <x:v>How to read the curves</x:v>
      </x:c>
      <x:c r="H11" s="10" t="str">
        <x:v>How to read the curves</x:v>
      </x:c>
    </x:row>
    <x:row r="12" ht="42" customHeight="1">
      <x:c r="A12" s="19" t="str">
        <x:v>Published API</x:v>
      </x:c>
      <x:c r="B12" s="20" t="str">
        <x:v>Solid price logic</x:v>
      </x:c>
      <x:c r="C12" s="14" t="str">
        <x:v>Near-zero intercept; monthly cost rises linearly with the published blended token rate.</x:v>
      </x:c>
      <x:c r="D12" s="14"/>
      <x:c r="E12" s="14"/>
      <x:c r="F12" s="14"/>
      <x:c r="G12" s="14"/>
      <x:c r="H12" s="14"/>
    </x:row>
    <x:row r="13" ht="42" customHeight="1">
      <x:c r="A13" s="19" t="str">
        <x:v>Rental GPU</x:v>
      </x:c>
      <x:c r="B13" s="20" t="str">
        <x:v>Estimated curve</x:v>
      </x:c>
      <x:c r="C13" s="14" t="str">
        <x:v>Always-on endpoint cost is hourly rate × 730 hours × integer node count. Stopping between requests is possible but changes latency and cold-start assumptions.</x:v>
      </x:c>
      <x:c r="D13" s="14"/>
      <x:c r="E13" s="14"/>
      <x:c r="F13" s="14"/>
      <x:c r="G13" s="14"/>
      <x:c r="H13" s="14"/>
    </x:row>
    <x:row r="14" ht="42" customHeight="1">
      <x:c r="A14" s="19" t="str">
        <x:v>Owned economic</x:v>
      </x:c>
      <x:c r="B14" s="20" t="str">
        <x:v>Estimated curve</x:v>
      </x:c>
      <x:c r="C14" s="14" t="str">
        <x:v>Monthly amortization + power or colo creates the fixed intercept. Another server is added when modeled capacity is exceeded.</x:v>
      </x:c>
      <x:c r="D14" s="14"/>
      <x:c r="E14" s="14"/>
      <x:c r="F14" s="14"/>
      <x:c r="G14" s="14"/>
      <x:c r="H14" s="14"/>
    </x:row>
    <x:row r="15" ht="42" customHeight="1">
      <x:c r="A15" s="19" t="str">
        <x:v>Owned cash</x:v>
      </x:c>
      <x:c r="B15" s="20" t="str">
        <x:v>Estimated curve</x:v>
      </x:c>
      <x:c r="C15" s="14" t="str">
        <x:v>Full purchase price is paid up front, then power/colo over the 36-month horizon. This is the graph that shows the literal high y-intercept.</x:v>
      </x:c>
      <x:c r="D15" s="14"/>
      <x:c r="E15" s="14"/>
      <x:c r="F15" s="14"/>
      <x:c r="G15" s="14"/>
      <x:c r="H15" s="14"/>
    </x:row>
    <x:row r="16" ht="42" customHeight="1">
      <x:c r="A16" s="19" t="str">
        <x:v>Capacity</x:v>
      </x:c>
      <x:c r="B16" s="20" t="str">
        <x:v>Finite staircase</x:v>
      </x:c>
      <x:c r="C16" s="14" t="str">
        <x:v>Node count = ROUNDUP(monthly standardized requests ÷ requests per node per month). A single server never scales indefinitely.</x:v>
      </x:c>
      <x:c r="D16" s="14"/>
      <x:c r="E16" s="14"/>
      <x:c r="F16" s="14"/>
      <x:c r="G16" s="14"/>
      <x:c r="H16" s="14"/>
    </x:row>
    <x:row r="17" ht="42" customHeight="1">
      <x:c r="A17" s="19" t="str">
        <x:v>Capability</x:v>
      </x:c>
      <x:c r="B17" s="20" t="str">
        <x:v>Not normalized</x:v>
      </x:c>
      <x:c r="C17" s="14" t="str">
        <x:v>Cost does not equal quality. Frontier, frontier-class open, 70B open, and efficient local models are labeled separately.</x:v>
      </x:c>
      <x:c r="D17" s="14"/>
      <x:c r="E17" s="14"/>
      <x:c r="F17" s="14"/>
      <x:c r="G17" s="14"/>
      <x:c r="H17" s="14"/>
    </x:row>
    <x:row r="19" ht="24" customHeight="1">
      <x:c r="A19" s="23" t="str">
        <x:v>Important limitations</x:v>
      </x:c>
      <x:c r="B19" s="23" t="str">
        <x:v>Important limitations</x:v>
      </x:c>
      <x:c r="C19" s="23" t="str">
        <x:v>Important limitations</x:v>
      </x:c>
      <x:c r="D19" s="23" t="str">
        <x:v>Important limitations</x:v>
      </x:c>
      <x:c r="E19" s="23" t="str">
        <x:v>Important limitations</x:v>
      </x:c>
      <x:c r="F19" s="23" t="str">
        <x:v>Important limitations</x:v>
      </x:c>
      <x:c r="G19" s="23" t="str">
        <x:v>Important limitations</x:v>
      </x:c>
      <x:c r="H19" s="23" t="str">
        <x:v>Important limitations</x:v>
      </x:c>
    </x:row>
    <x:row r="20" ht="44" customHeight="1">
      <x:c r="A20" s="27" t="str">
        <x:v>•</x:v>
      </x:c>
      <x:c r="B20" s="14" t="str">
        <x:v>Nominal token counts are not identical text workloads across tokenizers; Anthropic specifically warns its newer tokenizer can produce roughly 30% more tokens for the same text.</x:v>
      </x:c>
      <x:c r="C20" s="14"/>
      <x:c r="D20" s="14"/>
      <x:c r="E20" s="14"/>
      <x:c r="F20" s="14"/>
      <x:c r="G20" s="14"/>
      <x:c r="H20" s="14"/>
    </x:row>
    <x:row r="21" ht="44" customHeight="1">
      <x:c r="A21" s="27" t="str">
        <x:v>•</x:v>
      </x:c>
      <x:c r="B21" s="14" t="str">
        <x:v>Reasoning/thinking tokens are often billed as output but are not always visible in the final answer. The 30K/5K request is a billing unit, not a claim about actual agent traces.</x:v>
      </x:c>
      <x:c r="C21" s="14"/>
      <x:c r="D21" s="14"/>
      <x:c r="E21" s="14"/>
      <x:c r="F21" s="14"/>
      <x:c r="G21" s="14"/>
      <x:c r="H21" s="14"/>
    </x:row>
    <x:row r="22" ht="44" customHeight="1">
      <x:c r="A22" s="27" t="str">
        <x:v>•</x:v>
      </x:c>
      <x:c r="B22" s="14" t="str">
        <x:v>GPU curves use published hardware prices and an NVIDIA Llama 3.3 70B benchmark, then extrapolate four TP2 replicas to an 8-GPU node. That extrapolation is labeled estimated.</x:v>
      </x:c>
      <x:c r="C22" s="14"/>
      <x:c r="D22" s="14"/>
      <x:c r="E22" s="14"/>
      <x:c r="F22" s="14"/>
      <x:c r="G22" s="14"/>
      <x:c r="H22" s="14"/>
    </x:row>
    <x:row r="23" ht="44" customHeight="1">
      <x:c r="A23" s="27" t="str">
        <x:v>•</x:v>
      </x:c>
      <x:c r="B23" s="14" t="str">
        <x:v>The benchmark's 20K input / 2K output profile is translated to 30K / 5K using estimated aggregate prefill and published output throughput. Re-benchmark your exact model, quantization, context, concurrency, and SLO before procurement.</x:v>
      </x:c>
      <x:c r="C23" s="14"/>
      <x:c r="D23" s="14"/>
      <x:c r="E23" s="14"/>
      <x:c r="F23" s="14"/>
      <x:c r="G23" s="14"/>
      <x:c r="H23" s="14"/>
    </x:row>
    <x:row r="24" ht="44" customHeight="1">
      <x:c r="A24" s="27" t="str">
        <x:v>•</x:v>
      </x:c>
      <x:c r="B24" s="14" t="str">
        <x:v>Taxes, staff, networking, storage, orchestration, downtime, security/compliance work, and enterprise discounts are excluded unless explicitly shown.</x:v>
      </x:c>
      <x:c r="C24" s="14"/>
      <x:c r="D24" s="14"/>
      <x:c r="E24" s="14"/>
      <x:c r="F24" s="14"/>
      <x:c r="G24" s="14"/>
      <x:c r="H24" s="14"/>
    </x:row>
    <x:row r="25" ht="44" customHeight="1">
      <x:c r="A25" s="27" t="str">
        <x:v>•</x:v>
      </x:c>
      <x:c r="B25" s="14" t="str">
        <x:v>Live marketplace prices and availability can move immediately after the access timestamp.</x:v>
      </x:c>
      <x:c r="C25" s="14"/>
      <x:c r="D25" s="14"/>
      <x:c r="E25" s="14"/>
      <x:c r="F25" s="14"/>
      <x:c r="G25" s="14"/>
      <x:c r="H25" s="14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A11:H11"/>
    <x:mergeCell ref="C12:H12"/>
    <x:mergeCell ref="C13:H13"/>
    <x:mergeCell ref="C14:H14"/>
    <x:mergeCell ref="C15:H15"/>
    <x:mergeCell ref="C16:H16"/>
    <x:mergeCell ref="C17:H17"/>
    <x:mergeCell ref="A19:H19"/>
    <x:mergeCell ref="B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2" customHeight="1">
      <x:c r="A1" s="3" t="str">
        <x:v>LLM inference cost dashboard</x:v>
      </x:c>
      <x:c r="B1" s="3" t="str">
        <x:v>LLM inference cost dashboard</x:v>
      </x:c>
      <x:c r="C1" s="3" t="str">
        <x:v>LLM inference cost dashboard</x:v>
      </x:c>
      <x:c r="D1" s="3" t="str">
        <x:v>LLM inference cost dashboard</x:v>
      </x:c>
      <x:c r="E1" s="3" t="str">
        <x:v>LLM inference cost dashboard</x:v>
      </x:c>
      <x:c r="F1" s="3" t="str">
        <x:v>LLM inference cost dashboard</x:v>
      </x:c>
      <x:c r="G1" s="3" t="str">
        <x:v>LLM inference cost dashboard</x:v>
      </x:c>
      <x:c r="H1" s="3" t="str">
        <x:v>LLM inference cost dashboard</x:v>
      </x:c>
      <x:c r="I1" s="3" t="str">
        <x:v>LLM inference cost dashboard</x:v>
      </x:c>
      <x:c r="J1" s="3" t="str">
        <x:v>LLM inference cost dashboard</x:v>
      </x:c>
      <x:c r="K1" s="3" t="str">
        <x:v>LLM inference cost dashboard</x:v>
      </x:c>
      <x:c r="L1" s="3" t="str">
        <x:v>LLM inference cost dashboard</x:v>
      </x:c>
      <x:c r="M1" s="3" t="str">
        <x:v>LLM inference cost dashboard</x:v>
      </x:c>
      <x:c r="N1" s="3" t="str">
        <x:v>LLM inference cost dashboard</x:v>
      </x:c>
      <x:c r="O1" s="3" t="str">
        <x:v>LLM inference cost dashboard</x:v>
      </x:c>
      <x:c r="P1" s="3" t="str">
        <x:v>LLM inference cost dashboard</x:v>
      </x:c>
    </x:row>
    <x:row r="2" ht="30" customHeight="1">
      <x:c r="A2" s="7" t="str">
        <x:v>Main workload: 30K input + 5K output tokens. API curves use published rates; GPU/owned curves are benchmark-derived estimates with whole-node capacity steps.</x:v>
      </x:c>
      <x:c r="B2" s="7" t="str">
        <x:v>Main workload: 30K input + 5K output tokens. API curves use published rates; GPU/owned curves are benchmark-derived estimates with whole-node capacity steps.</x:v>
      </x:c>
      <x:c r="C2" s="7" t="str">
        <x:v>Main workload: 30K input + 5K output tokens. API curves use published rates; GPU/owned curves are benchmark-derived estimates with whole-node capacity steps.</x:v>
      </x:c>
      <x:c r="D2" s="7" t="str">
        <x:v>Main workload: 30K input + 5K output tokens. API curves use published rates; GPU/owned curves are benchmark-derived estimates with whole-node capacity steps.</x:v>
      </x:c>
      <x:c r="E2" s="7" t="str">
        <x:v>Main workload: 30K input + 5K output tokens. API curves use published rates; GPU/owned curves are benchmark-derived estimates with whole-node capacity steps.</x:v>
      </x:c>
      <x:c r="F2" s="7" t="str">
        <x:v>Main workload: 30K input + 5K output tokens. API curves use published rates; GPU/owned curves are benchmark-derived estimates with whole-node capacity steps.</x:v>
      </x:c>
      <x:c r="G2" s="7" t="str">
        <x:v>Main workload: 30K input + 5K output tokens. API curves use published rates; GPU/owned curves are benchmark-derived estimates with whole-node capacity steps.</x:v>
      </x:c>
      <x:c r="H2" s="7" t="str">
        <x:v>Main workload: 30K input + 5K output tokens. API curves use published rates; GPU/owned curves are benchmark-derived estimates with whole-node capacity steps.</x:v>
      </x:c>
      <x:c r="I2" s="7" t="str">
        <x:v>Main workload: 30K input + 5K output tokens. API curves use published rates; GPU/owned curves are benchmark-derived estimates with whole-node capacity steps.</x:v>
      </x:c>
      <x:c r="J2" s="7" t="str">
        <x:v>Main workload: 30K input + 5K output tokens. API curves use published rates; GPU/owned curves are benchmark-derived estimates with whole-node capacity steps.</x:v>
      </x:c>
      <x:c r="K2" s="7" t="str">
        <x:v>Main workload: 30K input + 5K output tokens. API curves use published rates; GPU/owned curves are benchmark-derived estimates with whole-node capacity steps.</x:v>
      </x:c>
      <x:c r="L2" s="7" t="str">
        <x:v>Main workload: 30K input + 5K output tokens. API curves use published rates; GPU/owned curves are benchmark-derived estimates with whole-node capacity steps.</x:v>
      </x:c>
      <x:c r="M2" s="7" t="str">
        <x:v>Main workload: 30K input + 5K output tokens. API curves use published rates; GPU/owned curves are benchmark-derived estimates with whole-node capacity steps.</x:v>
      </x:c>
      <x:c r="N2" s="7" t="str">
        <x:v>Main workload: 30K input + 5K output tokens. API curves use published rates; GPU/owned curves are benchmark-derived estimates with whole-node capacity steps.</x:v>
      </x:c>
      <x:c r="O2" s="7" t="str">
        <x:v>Main workload: 30K input + 5K output tokens. API curves use published rates; GPU/owned curves are benchmark-derived estimates with whole-node capacity steps.</x:v>
      </x:c>
      <x:c r="P2" s="7" t="str">
        <x:v>Main workload: 30K input + 5K output tokens. API curves use published rates; GPU/owned curves are benchmark-derived estimates with whole-node capacity steps.</x:v>
      </x:c>
    </x:row>
    <x:row r="4" ht="24" customHeight="1">
      <x:c r="A4" s="10" t="str">
        <x:v>Workload</x:v>
      </x:c>
      <x:c r="B4" s="10" t="str">
        <x:v>Workload</x:v>
      </x:c>
      <x:c r="C4" s="10" t="str">
        <x:v>Workload</x:v>
      </x:c>
      <x:c r="D4" s="10" t="str">
        <x:v>Workload</x:v>
      </x:c>
      <x:c r="F4" s="23" t="str">
        <x:v>What the graph says</x:v>
      </x:c>
      <x:c r="G4" s="23" t="str">
        <x:v>What the graph says</x:v>
      </x:c>
      <x:c r="H4" s="23" t="str">
        <x:v>What the graph says</x:v>
      </x:c>
      <x:c r="I4" s="23" t="str">
        <x:v>What the graph says</x:v>
      </x:c>
      <x:c r="J4" s="23" t="str">
        <x:v>What the graph says</x:v>
      </x:c>
      <x:c r="K4" s="23" t="str">
        <x:v>What the graph says</x:v>
      </x:c>
      <x:c r="L4" s="23" t="str">
        <x:v>What the graph says</x:v>
      </x:c>
      <x:c r="M4" s="23" t="str">
        <x:v>What the graph says</x:v>
      </x:c>
      <x:c r="N4" s="23" t="str">
        <x:v>What the graph says</x:v>
      </x:c>
      <x:c r="O4" s="23" t="str">
        <x:v>What the graph says</x:v>
      </x:c>
      <x:c r="P4" s="23" t="str">
        <x:v>What the graph says</x:v>
      </x:c>
    </x:row>
    <x:row r="5" ht="28" customHeight="1">
      <x:c r="A5" s="105" t="str">
        <x:v>Input tokens / request</x:v>
      </x:c>
      <x:c r="B5" s="111" t="n">
        <x:f>'Assumptions'!B5</x:f>
        <x:v>30000</x:v>
      </x:c>
      <x:c r="C5" s="108" t="str">
        <x:v>Output tokens / request</x:v>
      </x:c>
      <x:c r="D5" s="113" t="n">
        <x:f>'Assumptions'!B6</x:f>
        <x:v>5000</x:v>
      </x:c>
      <x:c r="F5" s="134" t="str">
        <x:v>APIs have little fixed cost and linear spend. Dedicated GPU and owned curves begin with a full warm node; their effective $/1M falls as that node fills, then jumps when the next node is required.</x:v>
      </x:c>
      <x:c r="G5" s="135"/>
      <x:c r="H5" s="135"/>
      <x:c r="I5" s="135"/>
      <x:c r="J5" s="135"/>
      <x:c r="K5" s="135"/>
      <x:c r="L5" s="135"/>
      <x:c r="M5" s="135"/>
      <x:c r="N5" s="135"/>
      <x:c r="O5" s="135"/>
      <x:c r="P5" s="136"/>
    </x:row>
    <x:row r="6" ht="28" customHeight="1">
      <x:c r="A6" s="106" t="str">
        <x:v>Total tokens / request</x:v>
      </x:c>
      <x:c r="B6" s="112" t="n">
        <x:f>'Assumptions'!B7</x:f>
        <x:v>35000</x:v>
      </x:c>
      <x:c r="C6" s="109" t="str">
        <x:v>Cache sensitivity</x:v>
      </x:c>
      <x:c r="D6" s="114" t="n">
        <x:f>'Assumptions'!B8</x:f>
        <x:v>0.5</x:v>
      </x:c>
      <x:c r="F6" s="137" t="str">
        <x:v>Under the base 70B interactive proxy, owned/colo can cross frontier APIs at high utilization—but it does not automatically beat the cheapest direct or managed open-model APIs.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9"/>
    </x:row>
    <x:row r="7" ht="28" customHeight="1">
      <x:c r="A7" s="106" t="str">
        <x:v>Asset life</x:v>
      </x:c>
      <x:c r="B7" s="112" t="n">
        <x:f>'Assumptions'!B11</x:f>
        <x:v>36</x:v>
      </x:c>
      <x:c r="C7" s="109" t="str">
        <x:v>Modeled availability</x:v>
      </x:c>
      <x:c r="D7" s="114" t="n">
        <x:f>'Assumptions'!B10</x:f>
        <x:v>0.8</x:v>
      </x:c>
      <x:c r="F7" s="137" t="str">
        <x:v>The local RTX PRO curve is economically attractive but belongs to a lower capability tier. Cost-only intersections are not quality-equivalence claims.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9"/>
    </x:row>
    <x:row r="8" ht="28" customHeight="1">
      <x:c r="A8" s="107" t="str">
        <x:v>As-of date</x:v>
      </x:c>
      <x:c r="B8" s="103" t="str">
        <x:v>2026-07-15</x:v>
      </x:c>
      <x:c r="C8" s="110" t="str">
        <x:v>Currency</x:v>
      </x:c>
      <x:c r="D8" s="104" t="str">
        <x:v>USD</x:v>
      </x:c>
      <x:c r="F8" s="140" t="str">
        <x:v>Use the Assumptions sheet to change request shape, cache share, utilization, amortization, power, PUE, colo, and curve volumes.</x:v>
      </x:c>
      <x:c r="G8" s="141"/>
      <x:c r="H8" s="141"/>
      <x:c r="I8" s="141"/>
      <x:c r="J8" s="141"/>
      <x:c r="K8" s="141"/>
      <x:c r="L8" s="141"/>
      <x:c r="M8" s="141"/>
      <x:c r="N8" s="141"/>
      <x:c r="O8" s="141"/>
      <x:c r="P8" s="142"/>
    </x:row>
    <x:row r="50" ht="24" customHeight="1">
      <x:c r="A50" s="10" t="str">
        <x:v>One-node break-even check (base assumptions)</x:v>
      </x:c>
      <x:c r="B50" s="10" t="str">
        <x:v>One-node break-even check (base assumptions)</x:v>
      </x:c>
      <x:c r="C50" s="10" t="str">
        <x:v>One-node break-even check (base assumptions)</x:v>
      </x:c>
      <x:c r="D50" s="10" t="str">
        <x:v>One-node break-even check (base assumptions)</x:v>
      </x:c>
      <x:c r="E50" s="10" t="str">
        <x:v>One-node break-even check (base assumptions)</x:v>
      </x:c>
      <x:c r="F50" s="10" t="str">
        <x:v>One-node break-even check (base assumptions)</x:v>
      </x:c>
      <x:c r="G50" s="10" t="str">
        <x:v>One-node break-even check (base assumptions)</x:v>
      </x:c>
      <x:c r="H50" s="10" t="str">
        <x:v>One-node break-even check (base assumptions)</x:v>
      </x:c>
      <x:c r="I50" s="23" t="str">
        <x:v>Interpretation guardrails</x:v>
      </x:c>
      <x:c r="J50" s="23" t="str">
        <x:v>Interpretation guardrails</x:v>
      </x:c>
      <x:c r="K50" s="23" t="str">
        <x:v>Interpretation guardrails</x:v>
      </x:c>
      <x:c r="L50" s="23" t="str">
        <x:v>Interpretation guardrails</x:v>
      </x:c>
      <x:c r="M50" s="23" t="str">
        <x:v>Interpretation guardrails</x:v>
      </x:c>
      <x:c r="N50" s="23" t="str">
        <x:v>Interpretation guardrails</x:v>
      </x:c>
      <x:c r="O50" s="23" t="str">
        <x:v>Interpretation guardrails</x:v>
      </x:c>
      <x:c r="P50" s="23" t="str">
        <x:v>Interpretation guardrails</x:v>
      </x:c>
    </x:row>
    <x:row r="51" ht="34" customHeight="1">
      <x:c r="A51" s="35" t="str">
        <x:v>Infrastructure</x:v>
      </x:c>
      <x:c r="B51" s="36" t="str">
        <x:v>API comparator</x:v>
      </x:c>
      <x:c r="C51" s="36" t="str">
        <x:v>API blended $/1M</x:v>
      </x:c>
      <x:c r="D51" s="36" t="str">
        <x:v>Infra full-util $/1M</x:v>
      </x:c>
      <x:c r="E51" s="36" t="str">
        <x:v>Break-even monthly M tokens</x:v>
      </x:c>
      <x:c r="F51" s="36" t="str">
        <x:v>One-node capacity M tokens</x:v>
      </x:c>
      <x:c r="G51" s="37" t="str">
        <x:v>Conclusion</x:v>
      </x:c>
      <x:c r="I51" s="160" t="str">
        <x:v>• A crossing is valid only if the infrastructure full-util $/1M is below the API slope and the crossing occurs below the one-node capacity.</x:v>
      </x:c>
      <x:c r="J51" s="161"/>
      <x:c r="K51" s="161"/>
      <x:c r="L51" s="161"/>
      <x:c r="M51" s="161"/>
      <x:c r="N51" s="161"/>
      <x:c r="O51" s="161"/>
      <x:c r="P51" s="162"/>
    </x:row>
    <x:row r="52" ht="34" customHeight="1">
      <x:c r="A52" s="13" t="str">
        <x:v>Owned colocated 8xH200</x:v>
      </x:c>
      <x:c r="B52" s="13" t="str">
        <x:v>GPT-5.6 Sol</x:v>
      </x:c>
      <x:c r="C52" s="76" t="n">
        <x:f>'API Prices'!M5</x:f>
        <x:v>8.571428571428571</x:v>
      </x:c>
      <x:c r="D52" s="76" t="n">
        <x:f>'Infra Model'!AB15</x:f>
        <x:v>0.8572867170002031</x:v>
      </x:c>
      <x:c r="E52" s="81" t="n">
        <x:f>IF(D52&gt;=C52,"",'Infra Model'!U15/C52)</x:f>
        <x:v>1223.5668666666668</x:v>
      </x:c>
      <x:c r="F52" s="81" t="n">
        <x:f>'Infra Model'!X15</x:f>
        <x:v>12233.615419469419</x:v>
      </x:c>
      <x:c r="G52" s="13" t="str">
        <x:f>IF(D52&gt;=C52,"No long-run cost advantage",IF(E52&lt;=F52,"Crosses within one-node capacity","Needs multi-node analysis"))</x:f>
        <x:v>Crosses within one-node capacity</x:v>
      </x:c>
      <x:c r="I52" s="163" t="str">
        <x:v>• Rental/owned monthly curves assume a warm endpoint. Truly elastic spin-up can remove the intercept but introduces cold-start, storage, and availability tradeoffs.</x:v>
      </x:c>
      <x:c r="J52" s="164"/>
      <x:c r="K52" s="164"/>
      <x:c r="L52" s="164"/>
      <x:c r="M52" s="164"/>
      <x:c r="N52" s="164"/>
      <x:c r="O52" s="164"/>
      <x:c r="P52" s="165"/>
    </x:row>
    <x:row r="53" ht="34" customHeight="1">
      <x:c r="A53" s="13" t="str">
        <x:v>Owned colocated 8xH200</x:v>
      </x:c>
      <x:c r="B53" s="13" t="str">
        <x:v>Claude Sonnet 5</x:v>
      </x:c>
      <x:c r="C53" s="76" t="n">
        <x:f>'API Prices'!M9</x:f>
        <x:v>3.142857142857143</x:v>
      </x:c>
      <x:c r="D53" s="76" t="n">
        <x:f>'Infra Model'!AB15</x:f>
        <x:v>0.8572867170002031</x:v>
      </x:c>
      <x:c r="E53" s="81" t="n">
        <x:f>IF(D53&gt;=C53,"",'Infra Model'!U15/C53)</x:f>
        <x:v>3337.0005454545458</x:v>
      </x:c>
      <x:c r="F53" s="81" t="n">
        <x:f>'Infra Model'!X15</x:f>
        <x:v>12233.615419469419</x:v>
      </x:c>
      <x:c r="G53" s="13" t="str">
        <x:f>IF(D53&gt;=C53,"No long-run cost advantage",IF(E53&lt;=F53,"Crosses within one-node capacity","Needs multi-node analysis"))</x:f>
        <x:v>Crosses within one-node capacity</x:v>
      </x:c>
      <x:c r="I53" s="163" t="str">
        <x:v>• DePIN quotes may not provide eight colocated, mutually connected GPUs. The Akash H200 curve is a price thought experiment until topology is verified.</x:v>
      </x:c>
      <x:c r="J53" s="164"/>
      <x:c r="K53" s="164"/>
      <x:c r="L53" s="164"/>
      <x:c r="M53" s="164"/>
      <x:c r="N53" s="164"/>
      <x:c r="O53" s="164"/>
      <x:c r="P53" s="165"/>
    </x:row>
    <x:row r="54" ht="34" customHeight="1">
      <x:c r="A54" s="13" t="str">
        <x:v>Owned colocated 8xH200</x:v>
      </x:c>
      <x:c r="B54" s="13" t="str">
        <x:v>Gemini 3.1 Pro</x:v>
      </x:c>
      <x:c r="C54" s="76" t="n">
        <x:f>'API Prices'!M11</x:f>
        <x:v>3.4285714285714284</x:v>
      </x:c>
      <x:c r="D54" s="76" t="n">
        <x:f>'Infra Model'!AB15</x:f>
        <x:v>0.8572867170002031</x:v>
      </x:c>
      <x:c r="E54" s="81" t="n">
        <x:f>IF(D54&gt;=C54,"",'Infra Model'!U15/C54)</x:f>
        <x:v>3058.917166666667</x:v>
      </x:c>
      <x:c r="F54" s="81" t="n">
        <x:f>'Infra Model'!X15</x:f>
        <x:v>12233.615419469419</x:v>
      </x:c>
      <x:c r="G54" s="13" t="str">
        <x:f>IF(D54&gt;=C54,"No long-run cost advantage",IF(E54&lt;=F54,"Crosses within one-node capacity","Needs multi-node analysis"))</x:f>
        <x:v>Crosses within one-node capacity</x:v>
      </x:c>
      <x:c r="I54" s="163" t="str">
        <x:v>• API volume discounts and enterprise committed pricing are excluded; they can push API break-even farther right.</x:v>
      </x:c>
      <x:c r="J54" s="164"/>
      <x:c r="K54" s="164"/>
      <x:c r="L54" s="164"/>
      <x:c r="M54" s="164"/>
      <x:c r="N54" s="164"/>
      <x:c r="O54" s="164"/>
      <x:c r="P54" s="165"/>
    </x:row>
    <x:row r="55" ht="34" customHeight="1">
      <x:c r="A55" s="13" t="str">
        <x:v>Owned colocated 8xH200</x:v>
      </x:c>
      <x:c r="B55" s="13" t="str">
        <x:v>DeepSeek V4 Pro direct</x:v>
      </x:c>
      <x:c r="C55" s="76" t="n">
        <x:f>'API Prices'!M23</x:f>
        <x:v>0.4971428571428571</x:v>
      </x:c>
      <x:c r="D55" s="76" t="n">
        <x:f>'Infra Model'!AB15</x:f>
        <x:v>0.8572867170002031</x:v>
      </x:c>
      <x:c r="E55" s="81" t="str">
        <x:f>IF(D55&gt;=C55,"",'Infra Model'!U15/C55)</x:f>
      </x:c>
      <x:c r="F55" s="81" t="n">
        <x:f>'Infra Model'!X15</x:f>
        <x:v>12233.615419469419</x:v>
      </x:c>
      <x:c r="G55" s="13" t="str">
        <x:f>IF(D55&gt;=C55,"No long-run cost advantage",IF(E55&lt;=F55,"Crosses within one-node capacity","Needs multi-node analysis"))</x:f>
        <x:v>No long-run cost advantage</x:v>
      </x:c>
      <x:c r="I55" s="163" t="str">
        <x:v>• Self-hosted operations, staffing, security, storage, networking, and downtime are excluded from base TCO.</x:v>
      </x:c>
      <x:c r="J55" s="164"/>
      <x:c r="K55" s="164"/>
      <x:c r="L55" s="164"/>
      <x:c r="M55" s="164"/>
      <x:c r="N55" s="164"/>
      <x:c r="O55" s="164"/>
      <x:c r="P55" s="165"/>
    </x:row>
    <x:row r="56" ht="34" customHeight="1">
      <x:c r="A56" s="13" t="str">
        <x:v>Runpod 8xH200</x:v>
      </x:c>
      <x:c r="B56" s="13" t="str">
        <x:v>GPT-5.6 Sol</x:v>
      </x:c>
      <x:c r="C56" s="76" t="n">
        <x:f>'API Prices'!M5</x:f>
        <x:v>8.571428571428571</x:v>
      </x:c>
      <x:c r="D56" s="76" t="n">
        <x:f>'Infra Model'!AB10</x:f>
        <x:v>2.0956682976316676</x:v>
      </x:c>
      <x:c r="E56" s="81" t="n">
        <x:f>IF(D56&gt;=C56,"",'Infra Model'!U10/C56)</x:f>
        <x:v>2991.0533333333333</x:v>
      </x:c>
      <x:c r="F56" s="81" t="n">
        <x:f>'Infra Model'!X10</x:f>
        <x:v>12233.615419469419</x:v>
      </x:c>
      <x:c r="G56" s="13" t="str">
        <x:f>IF(D56&gt;=C56,"No long-run cost advantage",IF(E56&lt;=F56,"Crosses within one-node capacity","Needs multi-node analysis"))</x:f>
        <x:v>Crosses within one-node capacity</x:v>
      </x:c>
      <x:c r="I56" s="163" t="str">
        <x:v>• Compare within capability tiers before making a quality-adjusted decision.</x:v>
      </x:c>
      <x:c r="J56" s="164"/>
      <x:c r="K56" s="164"/>
      <x:c r="L56" s="164"/>
      <x:c r="M56" s="164"/>
      <x:c r="N56" s="164"/>
      <x:c r="O56" s="164"/>
      <x:c r="P56" s="165"/>
    </x:row>
    <x:row r="57" ht="34" customHeight="1">
      <x:c r="A57" s="13" t="str">
        <x:v>Akash 8xH200</x:v>
      </x:c>
      <x:c r="B57" s="13" t="str">
        <x:v>GPT-5.6 Sol</x:v>
      </x:c>
      <x:c r="C57" s="76" t="n">
        <x:f>'API Prices'!M5</x:f>
        <x:v>8.571428571428571</x:v>
      </x:c>
      <x:c r="D57" s="76" t="n">
        <x:f>'Infra Model'!AB11</x:f>
        <x:v>2.143405616484326</x:v>
      </x:c>
      <x:c r="E57" s="81" t="n">
        <x:f>IF(D57&gt;=C57,"",'Infra Model'!U11/C57)</x:f>
        <x:v>3059.186666666667</x:v>
      </x:c>
      <x:c r="F57" s="81" t="n">
        <x:f>'Infra Model'!X11</x:f>
        <x:v>12233.615419469419</x:v>
      </x:c>
      <x:c r="G57" s="13" t="str">
        <x:f>IF(D57&gt;=C57,"No long-run cost advantage",IF(E57&lt;=F57,"Crosses within one-node capacity","Needs multi-node analysis"))</x:f>
        <x:v>Crosses within one-node capacity</x:v>
      </x:c>
      <x:c r="I57" s="163" t="str">
        <x:v>• Re-benchmark the exact model and service-level objective before purchase or reservation.</x:v>
      </x:c>
      <x:c r="J57" s="164"/>
      <x:c r="K57" s="164"/>
      <x:c r="L57" s="164"/>
      <x:c r="M57" s="164"/>
      <x:c r="N57" s="164"/>
      <x:c r="O57" s="164"/>
      <x:c r="P57" s="165"/>
    </x:row>
    <x:row r="58" ht="34" customHeight="1">
      <x:c r="A58" s="13" t="str">
        <x:v>Local RTX PRO 6000</x:v>
      </x:c>
      <x:c r="B58" s="13" t="str">
        <x:v>Groq GPT-OSS 120B</x:v>
      </x:c>
      <x:c r="C58" s="76" t="n">
        <x:f>'API Prices'!M17</x:f>
        <x:v>0.21428571428571427</x:v>
      </x:c>
      <x:c r="D58" s="76" t="n">
        <x:f>'Infra Model'!AB17</x:f>
        <x:v>0.11807868247474167</x:v>
      </x:c>
      <x:c r="E58" s="81" t="n">
        <x:f>IF(D58&gt;=C58,"",'Infra Model'!U17/C58)</x:f>
        <x:v>2477.0795205333334</x:v>
      </x:c>
      <x:c r="F58" s="81" t="n">
        <x:f>'Infra Model'!X17</x:f>
        <x:v>4495.330937602091</x:v>
      </x:c>
      <x:c r="G58" s="13" t="str">
        <x:f>IF(D58&gt;=C58,"No long-run cost advantage",IF(E58&lt;=F58,"Crosses within one-node capacity","Needs multi-node analysis"))</x:f>
        <x:v>Crosses within one-node capacity</x:v>
      </x:c>
      <x:c r="I58" s="166" t="str">
        <x:v>• All source URLs and access dates are preserved in the data sheets.</x:v>
      </x:c>
      <x:c r="J58" s="167"/>
      <x:c r="K58" s="167"/>
      <x:c r="L58" s="167"/>
      <x:c r="M58" s="167"/>
      <x:c r="N58" s="167"/>
      <x:c r="O58" s="167"/>
      <x:c r="P58" s="168"/>
    </x:row>
  </x:sheetData>
  <x:mergeCells>
    <x:mergeCell ref="A1:P1"/>
    <x:mergeCell ref="A2:P2"/>
    <x:mergeCell ref="A4:D4"/>
    <x:mergeCell ref="F4:P4"/>
    <x:mergeCell ref="F5:P5"/>
    <x:mergeCell ref="F6:P6"/>
    <x:mergeCell ref="F7:P7"/>
    <x:mergeCell ref="F8:P8"/>
    <x:mergeCell ref="A50:P50"/>
    <x:mergeCell ref="I50:P50"/>
    <x:mergeCell ref="I51:P51"/>
    <x:mergeCell ref="I52:P52"/>
    <x:mergeCell ref="I53:P53"/>
    <x:mergeCell ref="I54:P54"/>
    <x:mergeCell ref="I55:P55"/>
    <x:mergeCell ref="I56:P56"/>
    <x:mergeCell ref="I57:P57"/>
    <x:mergeCell ref="I58:P58"/>
  </x:mergeCells>
  <x:conditionalFormatting sqref="G52:G58">
    <x:cfRule type="containsText" dxfId="12" priority="1" operator="containsText" text="Crosses"/>
    <x:cfRule type="containsText" dxfId="13" priority="2" operator="containsText" text="No"/>
  </x:conditionalFormatting>
  <x:pageMargins left="0.7" right="0.7" top="0.75" bottom="0.75" header="0.3" footer="0.3"/>
  <x:drawing xmlns:r="http://schemas.openxmlformats.org/officeDocument/2006/relationships" r:id="Rdfe013743f894cf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7" hidden="0" customWidth="1"/>
    <x:col min="3" max="3" width="38" hidden="0" customWidth="1"/>
    <x:col min="4" max="4" width="18" hidden="0" customWidth="1"/>
    <x:col min="5" max="5" width="27" hidden="0" customWidth="1"/>
    <x:col min="6" max="6" width="70" hidden="0" customWidth="1"/>
  </x:cols>
  <x:sheetData>
    <x:row r="1" ht="32" customHeight="1">
      <x:c r="A1" s="3" t="str">
        <x:v>Editable assumptions</x:v>
      </x:c>
      <x:c r="B1" s="3" t="str">
        <x:v>Editable assumptions</x:v>
      </x:c>
      <x:c r="C1" s="3" t="str">
        <x:v>Editable assumptions</x:v>
      </x:c>
      <x:c r="D1" s="3" t="str">
        <x:v>Editable assumptions</x:v>
      </x:c>
      <x:c r="E1" s="3" t="str">
        <x:v>Editable assumptions</x:v>
      </x:c>
      <x:c r="F1" s="3" t="str">
        <x:v>Editable assumptions</x:v>
      </x:c>
    </x:row>
    <x:row r="2" ht="30" customHeight="1">
      <x:c r="A2" s="7" t="str">
        <x:v>Yellow cells are user-editable inputs. Blue cells are formulas. All infrastructure outputs update from these assumptions.</x:v>
      </x:c>
      <x:c r="B2" s="7" t="str">
        <x:v>Yellow cells are user-editable inputs. Blue cells are formulas. All infrastructure outputs update from these assumptions.</x:v>
      </x:c>
      <x:c r="C2" s="7" t="str">
        <x:v>Yellow cells are user-editable inputs. Blue cells are formulas. All infrastructure outputs update from these assumptions.</x:v>
      </x:c>
      <x:c r="D2" s="7" t="str">
        <x:v>Yellow cells are user-editable inputs. Blue cells are formulas. All infrastructure outputs update from these assumptions.</x:v>
      </x:c>
      <x:c r="E2" s="7" t="str">
        <x:v>Yellow cells are user-editable inputs. Blue cells are formulas. All infrastructure outputs update from these assumptions.</x:v>
      </x:c>
      <x:c r="F2" s="7" t="str">
        <x:v>Yellow cells are user-editable inputs. Blue cells are formulas. All infrastructure outputs update from these assumptions.</x:v>
      </x:c>
    </x:row>
    <x:row r="4" ht="34" customHeight="1">
      <x:c r="A4" s="35" t="str">
        <x:v>Workload</x:v>
      </x:c>
      <x:c r="B4" s="36" t="str">
        <x:v>Value</x:v>
      </x:c>
      <x:c r="C4" s="37" t="str">
        <x:v>Unit / note</x:v>
      </x:c>
    </x:row>
    <x:row r="5">
      <x:c r="A5" s="13" t="str">
        <x:v>Input tokens per coding request</x:v>
      </x:c>
      <x:c r="B5" s="62" t="n">
        <x:v>30000</x:v>
      </x:c>
      <x:c r="C5" s="13" t="str">
        <x:v>tokens</x:v>
      </x:c>
    </x:row>
    <x:row r="6">
      <x:c r="A6" s="13" t="str">
        <x:v>Output tokens per coding request</x:v>
      </x:c>
      <x:c r="B6" s="62" t="n">
        <x:v>5000</x:v>
      </x:c>
      <x:c r="C6" s="13" t="str">
        <x:v>tokens, including billed reasoning when applicable</x:v>
      </x:c>
    </x:row>
    <x:row r="7">
      <x:c r="A7" s="13" t="str">
        <x:v>Total tokens per request</x:v>
      </x:c>
      <x:c r="B7" s="63" t="n">
        <x:f>B5+B6</x:f>
        <x:v>35000</x:v>
      </x:c>
      <x:c r="C7" s="13" t="str">
        <x:v>formula</x:v>
      </x:c>
    </x:row>
    <x:row r="8">
      <x:c r="A8" s="13" t="str">
        <x:v>Input cache-hit share</x:v>
      </x:c>
      <x:c r="B8" s="64" t="n">
        <x:v>0.5</x:v>
      </x:c>
      <x:c r="C8" s="13" t="str">
        <x:v>used only in cache-sensitivity columns</x:v>
      </x:c>
    </x:row>
    <x:row r="9">
      <x:c r="A9" s="13" t="str">
        <x:v>Hours per month</x:v>
      </x:c>
      <x:c r="B9" s="62" t="n">
        <x:v>730</x:v>
      </x:c>
      <x:c r="C9" s="13" t="str">
        <x:v>calendar hours</x:v>
      </x:c>
    </x:row>
    <x:row r="10">
      <x:c r="A10" s="13" t="str">
        <x:v>Calendar availability / modeled utilization</x:v>
      </x:c>
      <x:c r="B10" s="64" t="n">
        <x:v>0.8</x:v>
      </x:c>
      <x:c r="C10" s="13" t="str">
        <x:v>capacity realization; not GPU arithmetic utilization</x:v>
      </x:c>
    </x:row>
    <x:row r="11">
      <x:c r="A11" s="13" t="str">
        <x:v>Asset life</x:v>
      </x:c>
      <x:c r="B11" s="62" t="n">
        <x:v>36</x:v>
      </x:c>
      <x:c r="C11" s="13" t="str">
        <x:v>months</x:v>
      </x:c>
    </x:row>
    <x:row r="12">
      <x:c r="A12" s="13" t="str">
        <x:v>Residual value</x:v>
      </x:c>
      <x:c r="B12" s="64" t="n">
        <x:v>0.1</x:v>
      </x:c>
      <x:c r="C12" s="13" t="str">
        <x:v>% of purchase price</x:v>
      </x:c>
    </x:row>
    <x:row r="13">
      <x:c r="A13" s="13" t="str">
        <x:v>Annual maintenance</x:v>
      </x:c>
      <x:c r="B13" s="64" t="n">
        <x:v>0</x:v>
      </x:c>
      <x:c r="C13" s="13" t="str">
        <x:v>% of purchase price; 0% base during included warranty</x:v>
      </x:c>
    </x:row>
    <x:row r="14">
      <x:c r="A14" s="13" t="str">
        <x:v>Commercial electricity</x:v>
      </x:c>
      <x:c r="B14" s="65" t="n">
        <x:v>0.1351</x:v>
      </x:c>
      <x:c r="C14" s="13" t="str">
        <x:v>USD per kWh, EIA Apr-2026</x:v>
      </x:c>
    </x:row>
    <x:row r="15">
      <x:c r="A15" s="13" t="str">
        <x:v>PUE</x:v>
      </x:c>
      <x:c r="B15" s="66" t="n">
        <x:v>1.49</x:v>
      </x:c>
      <x:c r="C15" s="13" t="str">
        <x:v>North America average, Uptime 2025</x:v>
      </x:c>
    </x:row>
    <x:row r="16">
      <x:c r="A16" s="13" t="str">
        <x:v>Active draw factor</x:v>
      </x:c>
      <x:c r="B16" s="64" t="n">
        <x:v>0.8</x:v>
      </x:c>
      <x:c r="C16" s="13" t="str">
        <x:v>of published facility maximum</x:v>
      </x:c>
    </x:row>
    <x:row r="17">
      <x:c r="A17" s="13" t="str">
        <x:v>High-density colo all-in rate</x:v>
      </x:c>
      <x:c r="B17" s="67" t="n">
        <x:v>250</x:v>
      </x:c>
      <x:c r="C17" s="13" t="str">
        <x:v>USD per kW-month; megawatt-scale rate extrapolation</x:v>
      </x:c>
    </x:row>
    <x:row r="18">
      <x:c r="A18" s="13" t="str">
        <x:v>Cash-view horizon</x:v>
      </x:c>
      <x:c r="B18" s="62" t="n">
        <x:v>36</x:v>
      </x:c>
      <x:c r="C18" s="13" t="str">
        <x:v>months</x:v>
      </x:c>
    </x:row>
    <x:row r="20" ht="34" customHeight="1">
      <x:c r="A20" s="35" t="str">
        <x:v>Monthly usage curve</x:v>
      </x:c>
      <x:c r="B20" s="36" t="str">
        <x:v>Million total tokens</x:v>
      </x:c>
      <x:c r="C20" s="37" t="str">
        <x:v>Equivalent coding requests</x:v>
      </x:c>
    </x:row>
    <x:row r="21">
      <x:c r="A21" t="str">
        <x:v>U1</x:v>
      </x:c>
      <x:c r="B21" s="49" t="n">
        <x:v>1</x:v>
      </x:c>
      <x:c r="C21" s="38" t="n">
        <x:f>B21*1000000/$B$7</x:f>
        <x:v>28.571428571428573</x:v>
      </x:c>
    </x:row>
    <x:row r="22">
      <x:c r="A22" t="str">
        <x:v>U2</x:v>
      </x:c>
      <x:c r="B22" s="49" t="n">
        <x:v>10</x:v>
      </x:c>
      <x:c r="C22" s="38" t="n">
        <x:f>B22*1000000/$B$7</x:f>
        <x:v>285.7142857142857</x:v>
      </x:c>
    </x:row>
    <x:row r="23">
      <x:c r="A23" t="str">
        <x:v>U3</x:v>
      </x:c>
      <x:c r="B23" s="49" t="n">
        <x:v>100</x:v>
      </x:c>
      <x:c r="C23" s="38" t="n">
        <x:f>B23*1000000/$B$7</x:f>
        <x:v>2857.1428571428573</x:v>
      </x:c>
    </x:row>
    <x:row r="24">
      <x:c r="A24" t="str">
        <x:v>U4</x:v>
      </x:c>
      <x:c r="B24" s="49" t="n">
        <x:v>1000</x:v>
      </x:c>
      <x:c r="C24" s="38" t="n">
        <x:f>B24*1000000/$B$7</x:f>
        <x:v>28571.428571428572</x:v>
      </x:c>
    </x:row>
    <x:row r="25">
      <x:c r="A25" t="str">
        <x:v>U5</x:v>
      </x:c>
      <x:c r="B25" s="49" t="n">
        <x:v>3000</x:v>
      </x:c>
      <x:c r="C25" s="38" t="n">
        <x:f>B25*1000000/$B$7</x:f>
        <x:v>85714.28571428571</x:v>
      </x:c>
    </x:row>
    <x:row r="26">
      <x:c r="A26" t="str">
        <x:v>U6</x:v>
      </x:c>
      <x:c r="B26" s="49" t="n">
        <x:v>10000</x:v>
      </x:c>
      <x:c r="C26" s="38" t="n">
        <x:f>B26*1000000/$B$7</x:f>
        <x:v>285714.28571428574</x:v>
      </x:c>
    </x:row>
    <x:row r="27">
      <x:c r="A27" t="str">
        <x:v>U7</x:v>
      </x:c>
      <x:c r="B27" s="49" t="n">
        <x:v>30000</x:v>
      </x:c>
      <x:c r="C27" s="38" t="n">
        <x:f>B27*1000000/$B$7</x:f>
        <x:v>857142.8571428572</x:v>
      </x:c>
    </x:row>
    <x:row r="28">
      <x:c r="A28" t="str">
        <x:v>U8</x:v>
      </x:c>
      <x:c r="B28" s="49" t="n">
        <x:v>100000</x:v>
      </x:c>
      <x:c r="C28" s="38" t="n">
        <x:f>B28*1000000/$B$7</x:f>
        <x:v>2857142.8571428573</x:v>
      </x:c>
    </x:row>
    <x:row r="29">
      <x:c r="A29" t="str">
        <x:v>U9</x:v>
      </x:c>
      <x:c r="B29" s="49" t="n">
        <x:v>300000</x:v>
      </x:c>
      <x:c r="C29" s="38" t="n">
        <x:f>B29*1000000/$B$7</x:f>
        <x:v>8571428.57142857</x:v>
      </x:c>
    </x:row>
    <x:row r="31" ht="24" customHeight="1">
      <x:c r="A31" s="10" t="str">
        <x:v>Source notes for model inputs</x:v>
      </x:c>
      <x:c r="B31" s="10" t="str">
        <x:v>Source notes for model inputs</x:v>
      </x:c>
      <x:c r="C31" s="10" t="str">
        <x:v>Source notes for model inputs</x:v>
      </x:c>
      <x:c r="D31" s="10" t="str">
        <x:v>Source notes for model inputs</x:v>
      </x:c>
      <x:c r="E31" s="10" t="str">
        <x:v>Source notes for model inputs</x:v>
      </x:c>
      <x:c r="F31" s="10" t="str">
        <x:v>Source notes for model inputs</x:v>
      </x:c>
    </x:row>
    <x:row r="32">
      <x:c r="A32" s="68" t="str">
        <x:v>Electricity</x:v>
      </x:c>
      <x:c r="B32" s="69" t="str">
        <x:v>EIA April 2026 commercial average</x:v>
      </x:c>
      <x:c r="C32" s="70" t="n">
        <x:v>0.1351</x:v>
      </x:c>
      <x:c r="D32" s="69" t="str">
        <x:v>USD/kWh</x:v>
      </x:c>
      <x:c r="E32" s="69" t="str">
        <x:v>Published</x:v>
      </x:c>
      <x:c r="F32" s="71" t="str">
        <x:v>https://www.eia.gov/electricity/monthly/epm_table_grapher.php?t=table_5_03</x:v>
      </x:c>
    </x:row>
    <x:row r="33">
      <x:c r="A33" s="13" t="str">
        <x:v>PUE</x:v>
      </x:c>
      <x:c r="B33" s="13" t="str">
        <x:v>Uptime Institute 2025 North America average</x:v>
      </x:c>
      <x:c r="C33" s="72" t="n">
        <x:v>1.49</x:v>
      </x:c>
      <x:c r="D33" s="13" t="str">
        <x:v>ratio</x:v>
      </x:c>
      <x:c r="E33" s="13" t="str">
        <x:v>Published</x:v>
      </x:c>
      <x:c r="F33" s="13" t="str">
        <x:v>https://intelligence.uptimeinstitute.com/sites/default/files/2025-08/UI%20Field%20report%20183_Annual%20survey%20-%20regional%20view%202025.pdf</x:v>
      </x:c>
    </x:row>
    <x:row r="34">
      <x:c r="A34" s="13" t="str">
        <x:v>Colocation</x:v>
      </x:c>
      <x:c r="B34" s="13" t="str">
        <x:v>IDACORE East all-in price</x:v>
      </x:c>
      <x:c r="C34" s="72" t="n">
        <x:v>250</x:v>
      </x:c>
      <x:c r="D34" s="13" t="str">
        <x:v>USD/kW-month</x:v>
      </x:c>
      <x:c r="E34" s="13" t="str">
        <x:v>Published rate; extrapolated to one server</x:v>
      </x:c>
      <x:c r="F34" s="13" t="str">
        <x:v>https://idacore.com/pricing</x:v>
      </x:c>
    </x:row>
    <x:row r="35">
      <x:c r="A35" s="13" t="str">
        <x:v>H200 facility max</x:v>
      </x:c>
      <x:c r="B35" s="13" t="str">
        <x:v>NVIDIA DGX H100/H200 facility maximum</x:v>
      </x:c>
      <x:c r="C35" s="72" t="n">
        <x:v>10.2</x:v>
      </x:c>
      <x:c r="D35" s="13" t="str">
        <x:v>kW</x:v>
      </x:c>
      <x:c r="E35" s="13" t="str">
        <x:v>Published proxy</x:v>
      </x:c>
      <x:c r="F35" s="13" t="str">
        <x:v>https://docs.nvidia.com/dgx/dgxh100-user-guide/introduction-to-dgxh100.html</x:v>
      </x:c>
    </x:row>
    <x:row r="36">
      <x:c r="A36" s="13" t="str">
        <x:v>H200 server capex</x:v>
      </x:c>
      <x:c r="B36" s="13" t="str">
        <x:v>Supermicro SYS-821GE-TNHR starting price</x:v>
      </x:c>
      <x:c r="C36" s="72" t="n">
        <x:v>317508.64</x:v>
      </x:c>
      <x:c r="D36" s="13" t="str">
        <x:v>USD</x:v>
      </x:c>
      <x:c r="E36" s="13" t="str">
        <x:v>Published starting price</x:v>
      </x:c>
      <x:c r="F36" s="13" t="str">
        <x:v>https://store.supermicro.com/us_en/8u-gpu-superserver-sys-821ge-tnhr.html</x:v>
      </x:c>
    </x:row>
    <x:row r="37">
      <x:c r="A37" s="13" t="str">
        <x:v>B200 server capex</x:v>
      </x:c>
      <x:c r="B37" s="13" t="str">
        <x:v>Exxact TS4 configured Essential</x:v>
      </x:c>
      <x:c r="C37" s="72" t="n">
        <x:v>383856</x:v>
      </x:c>
      <x:c r="D37" s="13" t="str">
        <x:v>USD</x:v>
      </x:c>
      <x:c r="E37" s="13" t="str">
        <x:v>Published configured price</x:v>
      </x:c>
      <x:c r="F37" s="13" t="str">
        <x:v>https://configurator.exxactcorp.com/configure/TS4-124903244</x:v>
      </x:c>
    </x:row>
  </x:sheetData>
  <x:mergeCells>
    <x:mergeCell ref="A1:F1"/>
    <x:mergeCell ref="A2:F2"/>
    <x:mergeCell ref="A31:F31"/>
  </x:mergeCells>
  <x:pageMargins left="0.7" right="0.7" top="0.75" bottom="0.75" header="0.3" footer="0.3"/>
  <x:legacyDrawing xmlns:r="http://schemas.openxmlformats.org/officeDocument/2006/relationships" r:id="R379f3c1ec1ca469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25" hidden="0" customWidth="1"/>
    <x:col min="5" max="5" width="27" hidden="0" customWidth="1"/>
    <x:col min="6" max="6" width="22" hidden="0" customWidth="1"/>
    <x:col min="7" max="7" width="20" hidden="0" customWidth="1"/>
    <x:col min="8" max="8" width="14" hidden="0" customWidth="1"/>
    <x:col min="9" max="9" width="17" hidden="0" customWidth="1"/>
    <x:col min="10" max="10" width="14" hidden="0" customWidth="1"/>
    <x:col min="11" max="11" width="19" hidden="0" customWidth="1"/>
    <x:col min="12" max="12" width="19" hidden="0" customWidth="1"/>
    <x:col min="13" max="13" width="17" hidden="0" customWidth="1"/>
    <x:col min="14" max="14" width="12" hidden="0" customWidth="1"/>
    <x:col min="15" max="15" width="55" hidden="0" customWidth="1"/>
    <x:col min="16" max="16" width="66" hidden="0" customWidth="1"/>
    <x:col min="17" max="17" width="14" hidden="0" customWidth="1"/>
  </x:cols>
  <x:sheetData>
    <x:row r="1" ht="32" customHeight="1">
      <x:c r="A1" s="3" t="str">
        <x:v>Published API token prices</x:v>
      </x:c>
      <x:c r="B1" s="3" t="str">
        <x:v>Published API token prices</x:v>
      </x:c>
      <x:c r="C1" s="3" t="str">
        <x:v>Published API token prices</x:v>
      </x:c>
      <x:c r="D1" s="3" t="str">
        <x:v>Published API token prices</x:v>
      </x:c>
      <x:c r="E1" s="3" t="str">
        <x:v>Published API token prices</x:v>
      </x:c>
      <x:c r="F1" s="3" t="str">
        <x:v>Published API token prices</x:v>
      </x:c>
      <x:c r="G1" s="3" t="str">
        <x:v>Published API token prices</x:v>
      </x:c>
      <x:c r="H1" s="3" t="str">
        <x:v>Published API token prices</x:v>
      </x:c>
      <x:c r="I1" s="3" t="str">
        <x:v>Published API token prices</x:v>
      </x:c>
      <x:c r="J1" s="3" t="str">
        <x:v>Published API token prices</x:v>
      </x:c>
      <x:c r="K1" s="3" t="str">
        <x:v>Published API token prices</x:v>
      </x:c>
      <x:c r="L1" s="3" t="str">
        <x:v>Published API token prices</x:v>
      </x:c>
      <x:c r="M1" s="3" t="str">
        <x:v>Published API token prices</x:v>
      </x:c>
      <x:c r="N1" s="3" t="str">
        <x:v>Published API token prices</x:v>
      </x:c>
      <x:c r="O1" s="3" t="str">
        <x:v>Published API token prices</x:v>
      </x:c>
      <x:c r="P1" s="3" t="str">
        <x:v>Published API token prices</x:v>
      </x:c>
      <x:c r="Q1" s="3" t="str">
        <x:v>Published API token prices</x:v>
      </x:c>
    </x:row>
    <x:row r="2" ht="30" customHeight="1">
      <x:c r="A2" s="7" t="str">
        <x:v>All rates are USD per 1M tokens. Request-cost and blended columns are formulas tied to the editable workload assumptions.</x:v>
      </x:c>
      <x:c r="B2" s="7" t="str">
        <x:v>All rates are USD per 1M tokens. Request-cost and blended columns are formulas tied to the editable workload assumptions.</x:v>
      </x:c>
      <x:c r="C2" s="7" t="str">
        <x:v>All rates are USD per 1M tokens. Request-cost and blended columns are formulas tied to the editable workload assumptions.</x:v>
      </x:c>
      <x:c r="D2" s="7" t="str">
        <x:v>All rates are USD per 1M tokens. Request-cost and blended columns are formulas tied to the editable workload assumptions.</x:v>
      </x:c>
      <x:c r="E2" s="7" t="str">
        <x:v>All rates are USD per 1M tokens. Request-cost and blended columns are formulas tied to the editable workload assumptions.</x:v>
      </x:c>
      <x:c r="F2" s="7" t="str">
        <x:v>All rates are USD per 1M tokens. Request-cost and blended columns are formulas tied to the editable workload assumptions.</x:v>
      </x:c>
      <x:c r="G2" s="7" t="str">
        <x:v>All rates are USD per 1M tokens. Request-cost and blended columns are formulas tied to the editable workload assumptions.</x:v>
      </x:c>
      <x:c r="H2" s="7" t="str">
        <x:v>All rates are USD per 1M tokens. Request-cost and blended columns are formulas tied to the editable workload assumptions.</x:v>
      </x:c>
      <x:c r="I2" s="7" t="str">
        <x:v>All rates are USD per 1M tokens. Request-cost and blended columns are formulas tied to the editable workload assumptions.</x:v>
      </x:c>
      <x:c r="J2" s="7" t="str">
        <x:v>All rates are USD per 1M tokens. Request-cost and blended columns are formulas tied to the editable workload assumptions.</x:v>
      </x:c>
      <x:c r="K2" s="7" t="str">
        <x:v>All rates are USD per 1M tokens. Request-cost and blended columns are formulas tied to the editable workload assumptions.</x:v>
      </x:c>
      <x:c r="L2" s="7" t="str">
        <x:v>All rates are USD per 1M tokens. Request-cost and blended columns are formulas tied to the editable workload assumptions.</x:v>
      </x:c>
      <x:c r="M2" s="7" t="str">
        <x:v>All rates are USD per 1M tokens. Request-cost and blended columns are formulas tied to the editable workload assumptions.</x:v>
      </x:c>
      <x:c r="N2" s="7" t="str">
        <x:v>All rates are USD per 1M tokens. Request-cost and blended columns are formulas tied to the editable workload assumptions.</x:v>
      </x:c>
      <x:c r="O2" s="7" t="str">
        <x:v>All rates are USD per 1M tokens. Request-cost and blended columns are formulas tied to the editable workload assumptions.</x:v>
      </x:c>
      <x:c r="P2" s="7" t="str">
        <x:v>All rates are USD per 1M tokens. Request-cost and blended columns are formulas tied to the editable workload assumptions.</x:v>
      </x:c>
      <x:c r="Q2" s="7" t="str">
        <x:v>All rates are USD per 1M tokens. Request-cost and blended columns are formulas tied to the editable workload assumptions.</x:v>
      </x:c>
    </x:row>
    <x:row r="4" ht="34" customHeight="1">
      <x:c r="A4" s="35" t="str">
        <x:v>ID</x:v>
      </x:c>
      <x:c r="B4" s="36" t="str">
        <x:v>Provider</x:v>
      </x:c>
      <x:c r="C4" s="36" t="str">
        <x:v>Model</x:v>
      </x:c>
      <x:c r="D4" s="36" t="str">
        <x:v>Category</x:v>
      </x:c>
      <x:c r="E4" s="36" t="str">
        <x:v>Capability tier</x:v>
      </x:c>
      <x:c r="F4" s="36" t="str">
        <x:v>Pricing mode</x:v>
      </x:c>
      <x:c r="G4" s="36" t="str">
        <x:v>Price status</x:v>
      </x:c>
      <x:c r="H4" s="36" t="str">
        <x:v>Input $/1M</x:v>
      </x:c>
      <x:c r="I4" s="36" t="str">
        <x:v>Cached input $/1M</x:v>
      </x:c>
      <x:c r="J4" s="36" t="str">
        <x:v>Output $/1M</x:v>
      </x:c>
      <x:c r="K4" s="36" t="str">
        <x:v>30K/5K request—uncached</x:v>
      </x:c>
      <x:c r="L4" s="36" t="str">
        <x:v>Request at selected cache share</x:v>
      </x:c>
      <x:c r="M4" s="36" t="str">
        <x:v>Blended $/1M—uncached</x:v>
      </x:c>
      <x:c r="N4" s="36" t="str">
        <x:v>Input share</x:v>
      </x:c>
      <x:c r="O4" s="36" t="str">
        <x:v>Material caveat</x:v>
      </x:c>
      <x:c r="P4" s="36" t="str">
        <x:v>Source URL</x:v>
      </x:c>
      <x:c r="Q4" s="37" t="str">
        <x:v>Access date</x:v>
      </x:c>
    </x:row>
    <x:row r="5" ht="42" customHeight="1">
      <x:c r="A5" s="13" t="str">
        <x:v>API-001</x:v>
      </x:c>
      <x:c r="B5" s="13" t="str">
        <x:v>OpenAI</x:v>
      </x:c>
      <x:c r="C5" s="13" t="str">
        <x:v>GPT-5.6 Sol</x:v>
      </x:c>
      <x:c r="D5" s="13" t="str">
        <x:v>Frontier API</x:v>
      </x:c>
      <x:c r="E5" s="13" t="str">
        <x:v>Frontier flagship</x:v>
      </x:c>
      <x:c r="F5" s="13" t="str">
        <x:v>Standard</x:v>
      </x:c>
      <x:c r="G5" s="13" t="str">
        <x:v>Published</x:v>
      </x:c>
      <x:c r="H5" s="76" t="n">
        <x:v>5</x:v>
      </x:c>
      <x:c r="I5" s="76" t="n">
        <x:v>0.5</x:v>
      </x:c>
      <x:c r="J5" s="76" t="n">
        <x:v>30</x:v>
      </x:c>
      <x:c r="K5" s="77" t="n">
        <x:f>H5*'Assumptions'!$B$5/1000000+J5*'Assumptions'!$B$6/1000000</x:f>
        <x:v>0.3</x:v>
      </x:c>
      <x:c r="L5" s="77" t="n">
        <x:f>((1-'Assumptions'!$B$8)*H5+'Assumptions'!$B$8*IF(I5="",H5,I5))*'Assumptions'!$B$5/1000000+J5*'Assumptions'!$B$6/1000000</x:f>
        <x:v>0.23249999999999998</x:v>
      </x:c>
      <x:c r="M5" s="77" t="n">
        <x:f>H5*'Assumptions'!$B$5/'Assumptions'!$B$7+J5*'Assumptions'!$B$6/'Assumptions'!$B$7</x:f>
        <x:v>8.571428571428571</x:v>
      </x:c>
      <x:c r="N5" s="78" t="n">
        <x:f>'Assumptions'!$B$5/'Assumptions'!$B$7</x:f>
        <x:v>0.8571428571428571</x:v>
      </x:c>
      <x:c r="O5" s="13" t="str">
        <x:v>Short-context rate; long-context and regional processing can cost more.</x:v>
      </x:c>
      <x:c r="P5" s="13" t="str">
        <x:v>https://developers.openai.com/api/docs/models/gpt-5.6-sol</x:v>
      </x:c>
      <x:c r="Q5" s="13" t="str">
        <x:v>2026-07-15</x:v>
      </x:c>
    </x:row>
    <x:row r="6" ht="42" customHeight="1">
      <x:c r="A6" s="13" t="str">
        <x:v>API-002</x:v>
      </x:c>
      <x:c r="B6" s="13" t="str">
        <x:v>OpenAI</x:v>
      </x:c>
      <x:c r="C6" s="13" t="str">
        <x:v>GPT-5.6 Terra</x:v>
      </x:c>
      <x:c r="D6" s="13" t="str">
        <x:v>Frontier API</x:v>
      </x:c>
      <x:c r="E6" s="13" t="str">
        <x:v>Frontier balanced</x:v>
      </x:c>
      <x:c r="F6" s="13" t="str">
        <x:v>Standard</x:v>
      </x:c>
      <x:c r="G6" s="13" t="str">
        <x:v>Published</x:v>
      </x:c>
      <x:c r="H6" s="76" t="n">
        <x:v>2.5</x:v>
      </x:c>
      <x:c r="I6" s="76" t="n">
        <x:v>0.25</x:v>
      </x:c>
      <x:c r="J6" s="76" t="n">
        <x:v>15</x:v>
      </x:c>
      <x:c r="K6" s="77" t="n">
        <x:f>H6*'Assumptions'!$B$5/1000000+J6*'Assumptions'!$B$6/1000000</x:f>
        <x:v>0.15</x:v>
      </x:c>
      <x:c r="L6" s="77" t="n">
        <x:f>((1-'Assumptions'!$B$8)*H6+'Assumptions'!$B$8*IF(I6="",H6,I6))*'Assumptions'!$B$5/1000000+J6*'Assumptions'!$B$6/1000000</x:f>
        <x:v>0.11624999999999999</x:v>
      </x:c>
      <x:c r="M6" s="77" t="n">
        <x:f>H6*'Assumptions'!$B$5/'Assumptions'!$B$7+J6*'Assumptions'!$B$6/'Assumptions'!$B$7</x:f>
        <x:v>4.285714285714286</x:v>
      </x:c>
      <x:c r="N6" s="78" t="n">
        <x:f>'Assumptions'!$B$5/'Assumptions'!$B$7</x:f>
        <x:v>0.8571428571428571</x:v>
      </x:c>
      <x:c r="O6" s="13" t="str">
        <x:v>Short-context rate; long-context and regional processing can cost more.</x:v>
      </x:c>
      <x:c r="P6" s="13" t="str">
        <x:v>https://developers.openai.com/api/docs/models/gpt-5.6-terra</x:v>
      </x:c>
      <x:c r="Q6" s="13" t="str">
        <x:v>2026-07-15</x:v>
      </x:c>
    </x:row>
    <x:row r="7" ht="42" customHeight="1">
      <x:c r="A7" s="13" t="str">
        <x:v>API-003</x:v>
      </x:c>
      <x:c r="B7" s="13" t="str">
        <x:v>OpenAI</x:v>
      </x:c>
      <x:c r="C7" s="13" t="str">
        <x:v>GPT-5.6 Luna</x:v>
      </x:c>
      <x:c r="D7" s="13" t="str">
        <x:v>Frontier API</x:v>
      </x:c>
      <x:c r="E7" s="13" t="str">
        <x:v>Frontier efficient</x:v>
      </x:c>
      <x:c r="F7" s="13" t="str">
        <x:v>Standard</x:v>
      </x:c>
      <x:c r="G7" s="13" t="str">
        <x:v>Published</x:v>
      </x:c>
      <x:c r="H7" s="76" t="n">
        <x:v>1</x:v>
      </x:c>
      <x:c r="I7" s="76" t="n">
        <x:v>0.1</x:v>
      </x:c>
      <x:c r="J7" s="76" t="n">
        <x:v>6</x:v>
      </x:c>
      <x:c r="K7" s="77" t="n">
        <x:f>H7*'Assumptions'!$B$5/1000000+J7*'Assumptions'!$B$6/1000000</x:f>
        <x:v>0.06</x:v>
      </x:c>
      <x:c r="L7" s="77" t="n">
        <x:f>((1-'Assumptions'!$B$8)*H7+'Assumptions'!$B$8*IF(I7="",H7,I7))*'Assumptions'!$B$5/1000000+J7*'Assumptions'!$B$6/1000000</x:f>
        <x:v>0.0465</x:v>
      </x:c>
      <x:c r="M7" s="77" t="n">
        <x:f>H7*'Assumptions'!$B$5/'Assumptions'!$B$7+J7*'Assumptions'!$B$6/'Assumptions'!$B$7</x:f>
        <x:v>1.7142857142857142</x:v>
      </x:c>
      <x:c r="N7" s="78" t="n">
        <x:f>'Assumptions'!$B$5/'Assumptions'!$B$7</x:f>
        <x:v>0.8571428571428571</x:v>
      </x:c>
      <x:c r="O7" s="13" t="str">
        <x:v>Cost-sensitive current GPT-5.6 tier.</x:v>
      </x:c>
      <x:c r="P7" s="13" t="str">
        <x:v>https://developers.openai.com/api/docs/models/gpt-5.6-luna</x:v>
      </x:c>
      <x:c r="Q7" s="13" t="str">
        <x:v>2026-07-15</x:v>
      </x:c>
    </x:row>
    <x:row r="8" ht="42" customHeight="1">
      <x:c r="A8" s="13" t="str">
        <x:v>API-004</x:v>
      </x:c>
      <x:c r="B8" s="13" t="str">
        <x:v>Anthropic</x:v>
      </x:c>
      <x:c r="C8" s="13" t="str">
        <x:v>Claude Opus 4.8</x:v>
      </x:c>
      <x:c r="D8" s="13" t="str">
        <x:v>Frontier API</x:v>
      </x:c>
      <x:c r="E8" s="13" t="str">
        <x:v>Frontier flagship</x:v>
      </x:c>
      <x:c r="F8" s="13" t="str">
        <x:v>Standard</x:v>
      </x:c>
      <x:c r="G8" s="13" t="str">
        <x:v>Published</x:v>
      </x:c>
      <x:c r="H8" s="76" t="n">
        <x:v>5</x:v>
      </x:c>
      <x:c r="I8" s="76" t="n">
        <x:v>0.5</x:v>
      </x:c>
      <x:c r="J8" s="76" t="n">
        <x:v>25</x:v>
      </x:c>
      <x:c r="K8" s="77" t="n">
        <x:f>H8*'Assumptions'!$B$5/1000000+J8*'Assumptions'!$B$6/1000000</x:f>
        <x:v>0.275</x:v>
      </x:c>
      <x:c r="L8" s="77" t="n">
        <x:f>((1-'Assumptions'!$B$8)*H8+'Assumptions'!$B$8*IF(I8="",H8,I8))*'Assumptions'!$B$5/1000000+J8*'Assumptions'!$B$6/1000000</x:f>
        <x:v>0.20750000000000002</x:v>
      </x:c>
      <x:c r="M8" s="77" t="n">
        <x:f>H8*'Assumptions'!$B$5/'Assumptions'!$B$7+J8*'Assumptions'!$B$6/'Assumptions'!$B$7</x:f>
        <x:v>7.857142857142858</x:v>
      </x:c>
      <x:c r="N8" s="78" t="n">
        <x:f>'Assumptions'!$B$5/'Assumptions'!$B$7</x:f>
        <x:v>0.8571428571428571</x:v>
      </x:c>
      <x:c r="O8" s="13" t="str">
        <x:v>Cache writes are $6.25/MTok (5m) and $10/MTok (1h).</x:v>
      </x:c>
      <x:c r="P8" s="13" t="str">
        <x:v>https://platform.claude.com/docs/en/about-claude/pricing</x:v>
      </x:c>
      <x:c r="Q8" s="13" t="str">
        <x:v>2026-07-15</x:v>
      </x:c>
    </x:row>
    <x:row r="9" ht="42" customHeight="1">
      <x:c r="A9" s="13" t="str">
        <x:v>API-005</x:v>
      </x:c>
      <x:c r="B9" s="13" t="str">
        <x:v>Anthropic</x:v>
      </x:c>
      <x:c r="C9" s="13" t="str">
        <x:v>Claude Sonnet 5</x:v>
      </x:c>
      <x:c r="D9" s="13" t="str">
        <x:v>Frontier API</x:v>
      </x:c>
      <x:c r="E9" s="13" t="str">
        <x:v>Frontier balanced / coding</x:v>
      </x:c>
      <x:c r="F9" s="13" t="str">
        <x:v>Introductory through 2026-08-31</x:v>
      </x:c>
      <x:c r="G9" s="13" t="str">
        <x:v>Published—temporary</x:v>
      </x:c>
      <x:c r="H9" s="76" t="n">
        <x:v>2</x:v>
      </x:c>
      <x:c r="I9" s="76" t="n">
        <x:v>0.2</x:v>
      </x:c>
      <x:c r="J9" s="76" t="n">
        <x:v>10</x:v>
      </x:c>
      <x:c r="K9" s="77" t="n">
        <x:f>H9*'Assumptions'!$B$5/1000000+J9*'Assumptions'!$B$6/1000000</x:f>
        <x:v>0.11</x:v>
      </x:c>
      <x:c r="L9" s="77" t="n">
        <x:f>((1-'Assumptions'!$B$8)*H9+'Assumptions'!$B$8*IF(I9="",H9,I9))*'Assumptions'!$B$5/1000000+J9*'Assumptions'!$B$6/1000000</x:f>
        <x:v>0.083</x:v>
      </x:c>
      <x:c r="M9" s="77" t="n">
        <x:f>H9*'Assumptions'!$B$5/'Assumptions'!$B$7+J9*'Assumptions'!$B$6/'Assumptions'!$B$7</x:f>
        <x:v>3.142857142857143</x:v>
      </x:c>
      <x:c r="N9" s="78" t="n">
        <x:f>'Assumptions'!$B$5/'Assumptions'!$B$7</x:f>
        <x:v>0.8571428571428571</x:v>
      </x:c>
      <x:c r="O9" s="13" t="str">
        <x:v>Becomes $3 input / $0.30 cache hit / $15 output on 2026-09-01.</x:v>
      </x:c>
      <x:c r="P9" s="13" t="str">
        <x:v>https://platform.claude.com/docs/en/about-claude/pricing</x:v>
      </x:c>
      <x:c r="Q9" s="13" t="str">
        <x:v>2026-07-15</x:v>
      </x:c>
    </x:row>
    <x:row r="10" ht="42" customHeight="1">
      <x:c r="A10" s="13" t="str">
        <x:v>API-006</x:v>
      </x:c>
      <x:c r="B10" s="13" t="str">
        <x:v>Anthropic</x:v>
      </x:c>
      <x:c r="C10" s="13" t="str">
        <x:v>Claude Haiku 4.5</x:v>
      </x:c>
      <x:c r="D10" s="13" t="str">
        <x:v>Frontier API</x:v>
      </x:c>
      <x:c r="E10" s="13" t="str">
        <x:v>Efficient</x:v>
      </x:c>
      <x:c r="F10" s="13" t="str">
        <x:v>Standard</x:v>
      </x:c>
      <x:c r="G10" s="13" t="str">
        <x:v>Published</x:v>
      </x:c>
      <x:c r="H10" s="76" t="n">
        <x:v>1</x:v>
      </x:c>
      <x:c r="I10" s="76" t="n">
        <x:v>0.1</x:v>
      </x:c>
      <x:c r="J10" s="76" t="n">
        <x:v>5</x:v>
      </x:c>
      <x:c r="K10" s="77" t="n">
        <x:f>H10*'Assumptions'!$B$5/1000000+J10*'Assumptions'!$B$6/1000000</x:f>
        <x:v>0.055</x:v>
      </x:c>
      <x:c r="L10" s="77" t="n">
        <x:f>((1-'Assumptions'!$B$8)*H10+'Assumptions'!$B$8*IF(I10="",H10,I10))*'Assumptions'!$B$5/1000000+J10*'Assumptions'!$B$6/1000000</x:f>
        <x:v>0.0415</x:v>
      </x:c>
      <x:c r="M10" s="77" t="n">
        <x:f>H10*'Assumptions'!$B$5/'Assumptions'!$B$7+J10*'Assumptions'!$B$6/'Assumptions'!$B$7</x:f>
        <x:v>1.5714285714285714</x:v>
      </x:c>
      <x:c r="N10" s="78" t="n">
        <x:f>'Assumptions'!$B$5/'Assumptions'!$B$7</x:f>
        <x:v>0.8571428571428571</x:v>
      </x:c>
      <x:c r="O10" s="13" t="str">
        <x:v>Batch discount and cache-write rates are separate.</x:v>
      </x:c>
      <x:c r="P10" s="13" t="str">
        <x:v>https://platform.claude.com/docs/en/about-claude/pricing</x:v>
      </x:c>
      <x:c r="Q10" s="13" t="str">
        <x:v>2026-07-15</x:v>
      </x:c>
    </x:row>
    <x:row r="11" ht="42" customHeight="1">
      <x:c r="A11" s="13" t="str">
        <x:v>API-007</x:v>
      </x:c>
      <x:c r="B11" s="13" t="str">
        <x:v>Google</x:v>
      </x:c>
      <x:c r="C11" s="13" t="str">
        <x:v>Gemini 3.1 Pro Preview</x:v>
      </x:c>
      <x:c r="D11" s="13" t="str">
        <x:v>Frontier API</x:v>
      </x:c>
      <x:c r="E11" s="13" t="str">
        <x:v>Frontier agentic / coding</x:v>
      </x:c>
      <x:c r="F11" s="13" t="str">
        <x:v>Standard &lt;=200K prompt</x:v>
      </x:c>
      <x:c r="G11" s="13" t="str">
        <x:v>Published</x:v>
      </x:c>
      <x:c r="H11" s="76" t="n">
        <x:v>2</x:v>
      </x:c>
      <x:c r="I11" s="76" t="n">
        <x:v>0.2</x:v>
      </x:c>
      <x:c r="J11" s="76" t="n">
        <x:v>12</x:v>
      </x:c>
      <x:c r="K11" s="77" t="n">
        <x:f>H11*'Assumptions'!$B$5/1000000+J11*'Assumptions'!$B$6/1000000</x:f>
        <x:v>0.12</x:v>
      </x:c>
      <x:c r="L11" s="77" t="n">
        <x:f>((1-'Assumptions'!$B$8)*H11+'Assumptions'!$B$8*IF(I11="",H11,I11))*'Assumptions'!$B$5/1000000+J11*'Assumptions'!$B$6/1000000</x:f>
        <x:v>0.093</x:v>
      </x:c>
      <x:c r="M11" s="77" t="n">
        <x:f>H11*'Assumptions'!$B$5/'Assumptions'!$B$7+J11*'Assumptions'!$B$6/'Assumptions'!$B$7</x:f>
        <x:v>3.4285714285714284</x:v>
      </x:c>
      <x:c r="N11" s="78" t="n">
        <x:f>'Assumptions'!$B$5/'Assumptions'!$B$7</x:f>
        <x:v>0.8571428571428571</x:v>
      </x:c>
      <x:c r="O11" s="13" t="str">
        <x:v>Above 200K: $4 input / $0.40 cache / $18 output. Output includes thinking.</x:v>
      </x:c>
      <x:c r="P11" s="13" t="str">
        <x:v>https://ai.google.dev/gemini-api/docs/pricing</x:v>
      </x:c>
      <x:c r="Q11" s="13" t="str">
        <x:v>2026-07-15</x:v>
      </x:c>
    </x:row>
    <x:row r="12" ht="42" customHeight="1">
      <x:c r="A12" s="13" t="str">
        <x:v>API-008</x:v>
      </x:c>
      <x:c r="B12" s="13" t="str">
        <x:v>Google</x:v>
      </x:c>
      <x:c r="C12" s="13" t="str">
        <x:v>Gemini 3.5 Flash</x:v>
      </x:c>
      <x:c r="D12" s="13" t="str">
        <x:v>Frontier API</x:v>
      </x:c>
      <x:c r="E12" s="13" t="str">
        <x:v>Fast frontier</x:v>
      </x:c>
      <x:c r="F12" s="13" t="str">
        <x:v>Standard</x:v>
      </x:c>
      <x:c r="G12" s="13" t="str">
        <x:v>Published</x:v>
      </x:c>
      <x:c r="H12" s="76" t="n">
        <x:v>1.5</x:v>
      </x:c>
      <x:c r="I12" s="76" t="n">
        <x:v>0.15</x:v>
      </x:c>
      <x:c r="J12" s="76" t="n">
        <x:v>9</x:v>
      </x:c>
      <x:c r="K12" s="77" t="n">
        <x:f>H12*'Assumptions'!$B$5/1000000+J12*'Assumptions'!$B$6/1000000</x:f>
        <x:v>0.09</x:v>
      </x:c>
      <x:c r="L12" s="77" t="n">
        <x:f>((1-'Assumptions'!$B$8)*H12+'Assumptions'!$B$8*IF(I12="",H12,I12))*'Assumptions'!$B$5/1000000+J12*'Assumptions'!$B$6/1000000</x:f>
        <x:v>0.06975</x:v>
      </x:c>
      <x:c r="M12" s="77" t="n">
        <x:f>H12*'Assumptions'!$B$5/'Assumptions'!$B$7+J12*'Assumptions'!$B$6/'Assumptions'!$B$7</x:f>
        <x:v>2.5714285714285716</x:v>
      </x:c>
      <x:c r="N12" s="78" t="n">
        <x:f>'Assumptions'!$B$5/'Assumptions'!$B$7</x:f>
        <x:v>0.8571428571428571</x:v>
      </x:c>
      <x:c r="O12" s="13" t="str">
        <x:v>Output includes thinking; cache storage is separately billed.</x:v>
      </x:c>
      <x:c r="P12" s="13" t="str">
        <x:v>https://ai.google.dev/gemini-api/docs/pricing</x:v>
      </x:c>
      <x:c r="Q12" s="13" t="str">
        <x:v>2026-07-15</x:v>
      </x:c>
    </x:row>
    <x:row r="13" ht="42" customHeight="1">
      <x:c r="A13" s="13" t="str">
        <x:v>API-009</x:v>
      </x:c>
      <x:c r="B13" s="13" t="str">
        <x:v>xAI</x:v>
      </x:c>
      <x:c r="C13" s="13" t="str">
        <x:v>Grok 4.5</x:v>
      </x:c>
      <x:c r="D13" s="13" t="str">
        <x:v>Frontier API</x:v>
      </x:c>
      <x:c r="E13" s="13" t="str">
        <x:v>Frontier reasoning / coding</x:v>
      </x:c>
      <x:c r="F13" s="13" t="str">
        <x:v>Short context</x:v>
      </x:c>
      <x:c r="G13" s="13" t="str">
        <x:v>Published</x:v>
      </x:c>
      <x:c r="H13" s="76" t="n">
        <x:v>2</x:v>
      </x:c>
      <x:c r="I13" s="76" t="n">
        <x:v>0.5</x:v>
      </x:c>
      <x:c r="J13" s="76" t="n">
        <x:v>6</x:v>
      </x:c>
      <x:c r="K13" s="77" t="n">
        <x:f>H13*'Assumptions'!$B$5/1000000+J13*'Assumptions'!$B$6/1000000</x:f>
        <x:v>0.09</x:v>
      </x:c>
      <x:c r="L13" s="77" t="n">
        <x:f>((1-'Assumptions'!$B$8)*H13+'Assumptions'!$B$8*IF(I13="",H13,I13))*'Assumptions'!$B$5/1000000+J13*'Assumptions'!$B$6/1000000</x:f>
        <x:v>0.0675</x:v>
      </x:c>
      <x:c r="M13" s="77" t="n">
        <x:f>H13*'Assumptions'!$B$5/'Assumptions'!$B$7+J13*'Assumptions'!$B$6/'Assumptions'!$B$7</x:f>
        <x:v>2.571428571428571</x:v>
      </x:c>
      <x:c r="N13" s="78" t="n">
        <x:f>'Assumptions'!$B$5/'Assumptions'!$B$7</x:f>
        <x:v>0.8571428571428571</x:v>
      </x:c>
      <x:c r="O13" s="13" t="str">
        <x:v>Long-context rates apply once the prompt crosses the provider threshold.</x:v>
      </x:c>
      <x:c r="P13" s="13" t="str">
        <x:v>https://docs.x.ai/developers/pricing</x:v>
      </x:c>
      <x:c r="Q13" s="13" t="str">
        <x:v>2026-07-15</x:v>
      </x:c>
    </x:row>
    <x:row r="14" ht="42" customHeight="1">
      <x:c r="A14" s="13" t="str">
        <x:v>API-010</x:v>
      </x:c>
      <x:c r="B14" s="13" t="str">
        <x:v>xAI</x:v>
      </x:c>
      <x:c r="C14" s="13" t="str">
        <x:v>Grok Build 0.1</x:v>
      </x:c>
      <x:c r="D14" s="13" t="str">
        <x:v>Frontier API</x:v>
      </x:c>
      <x:c r="E14" s="13" t="str">
        <x:v>Coding specialist beta</x:v>
      </x:c>
      <x:c r="F14" s="13" t="str">
        <x:v>Short context</x:v>
      </x:c>
      <x:c r="G14" s="13" t="str">
        <x:v>Published</x:v>
      </x:c>
      <x:c r="H14" s="76" t="n">
        <x:v>1</x:v>
      </x:c>
      <x:c r="I14" s="76" t="n">
        <x:v>0.2</x:v>
      </x:c>
      <x:c r="J14" s="76" t="n">
        <x:v>2</x:v>
      </x:c>
      <x:c r="K14" s="77" t="n">
        <x:f>H14*'Assumptions'!$B$5/1000000+J14*'Assumptions'!$B$6/1000000</x:f>
        <x:v>0.04</x:v>
      </x:c>
      <x:c r="L14" s="77" t="n">
        <x:f>((1-'Assumptions'!$B$8)*H14+'Assumptions'!$B$8*IF(I14="",H14,I14))*'Assumptions'!$B$5/1000000+J14*'Assumptions'!$B$6/1000000</x:f>
        <x:v>0.027999999999999997</x:v>
      </x:c>
      <x:c r="M14" s="77" t="n">
        <x:f>H14*'Assumptions'!$B$5/'Assumptions'!$B$7+J14*'Assumptions'!$B$6/'Assumptions'!$B$7</x:f>
        <x:v>1.1428571428571428</x:v>
      </x:c>
      <x:c r="N14" s="78" t="n">
        <x:f>'Assumptions'!$B$5/'Assumptions'!$B$7</x:f>
        <x:v>0.8571428571428571</x:v>
      </x:c>
      <x:c r="O14" s="13" t="str">
        <x:v>Public beta / early-access coding model.</x:v>
      </x:c>
      <x:c r="P14" s="13" t="str">
        <x:v>https://docs.x.ai/developers/pricing</x:v>
      </x:c>
      <x:c r="Q14" s="13" t="str">
        <x:v>2026-07-15</x:v>
      </x:c>
    </x:row>
    <x:row r="15" ht="42" customHeight="1">
      <x:c r="A15" s="13" t="str">
        <x:v>API-011</x:v>
      </x:c>
      <x:c r="B15" s="13" t="str">
        <x:v>Together AI</x:v>
      </x:c>
      <x:c r="C15" s="13" t="str">
        <x:v>Kimi K2.7 Code</x:v>
      </x:c>
      <x:c r="D15" s="13" t="str">
        <x:v>Managed open-model API</x:v>
      </x:c>
      <x:c r="E15" s="13" t="str">
        <x:v>Open coding</x:v>
      </x:c>
      <x:c r="F15" s="13" t="str">
        <x:v>Serverless PAYG</x:v>
      </x:c>
      <x:c r="G15" s="13" t="str">
        <x:v>Published</x:v>
      </x:c>
      <x:c r="H15" s="76" t="n">
        <x:v>0.95</x:v>
      </x:c>
      <x:c r="I15" s="76" t="n">
        <x:v>0.19</x:v>
      </x:c>
      <x:c r="J15" s="76" t="n">
        <x:v>4</x:v>
      </x:c>
      <x:c r="K15" s="77" t="n">
        <x:f>H15*'Assumptions'!$B$5/1000000+J15*'Assumptions'!$B$6/1000000</x:f>
        <x:v>0.0485</x:v>
      </x:c>
      <x:c r="L15" s="77" t="n">
        <x:f>((1-'Assumptions'!$B$8)*H15+'Assumptions'!$B$8*IF(I15="",H15,I15))*'Assumptions'!$B$5/1000000+J15*'Assumptions'!$B$6/1000000</x:f>
        <x:v>0.0371</x:v>
      </x:c>
      <x:c r="M15" s="77" t="n">
        <x:f>H15*'Assumptions'!$B$5/'Assumptions'!$B$7+J15*'Assumptions'!$B$6/'Assumptions'!$B$7</x:f>
        <x:v>1.3857142857142857</x:v>
      </x:c>
      <x:c r="N15" s="78" t="n">
        <x:f>'Assumptions'!$B$5/'Assumptions'!$B$7</x:f>
        <x:v>0.8571428571428571</x:v>
      </x:c>
      <x:c r="O15" s="13" t="str">
        <x:v>Shared serverless FP4 deployment.</x:v>
      </x:c>
      <x:c r="P15" s="13" t="str">
        <x:v>https://www.together.ai/pricing</x:v>
      </x:c>
      <x:c r="Q15" s="13" t="str">
        <x:v>2026-07-15</x:v>
      </x:c>
    </x:row>
    <x:row r="16" ht="42" customHeight="1">
      <x:c r="A16" s="13" t="str">
        <x:v>API-012</x:v>
      </x:c>
      <x:c r="B16" s="13" t="str">
        <x:v>Fireworks AI</x:v>
      </x:c>
      <x:c r="C16" s="13" t="str">
        <x:v>DeepSeek V4 Pro</x:v>
      </x:c>
      <x:c r="D16" s="13" t="str">
        <x:v>Managed open-model API</x:v>
      </x:c>
      <x:c r="E16" s="13" t="str">
        <x:v>Open frontier-class coding</x:v>
      </x:c>
      <x:c r="F16" s="13" t="str">
        <x:v>Serverless PAYG</x:v>
      </x:c>
      <x:c r="G16" s="13" t="str">
        <x:v>Published</x:v>
      </x:c>
      <x:c r="H16" s="76" t="n">
        <x:v>1.74</x:v>
      </x:c>
      <x:c r="I16" s="76" t="n">
        <x:v>0.145</x:v>
      </x:c>
      <x:c r="J16" s="76" t="n">
        <x:v>3.48</x:v>
      </x:c>
      <x:c r="K16" s="77" t="n">
        <x:f>H16*'Assumptions'!$B$5/1000000+J16*'Assumptions'!$B$6/1000000</x:f>
        <x:v>0.0696</x:v>
      </x:c>
      <x:c r="L16" s="77" t="n">
        <x:f>((1-'Assumptions'!$B$8)*H16+'Assumptions'!$B$8*IF(I16="",H16,I16))*'Assumptions'!$B$5/1000000+J16*'Assumptions'!$B$6/1000000</x:f>
        <x:v>0.045675</x:v>
      </x:c>
      <x:c r="M16" s="77" t="n">
        <x:f>H16*'Assumptions'!$B$5/'Assumptions'!$B$7+J16*'Assumptions'!$B$6/'Assumptions'!$B$7</x:f>
        <x:v>1.9885714285714284</x:v>
      </x:c>
      <x:c r="N16" s="78" t="n">
        <x:f>'Assumptions'!$B$5/'Assumptions'!$B$7</x:f>
        <x:v>0.8571428571428571</x:v>
      </x:c>
      <x:c r="O16" s="13" t="str">
        <x:v>Shared/adaptive limits; batch is separately discounted.</x:v>
      </x:c>
      <x:c r="P16" s="13" t="str">
        <x:v>https://docs.fireworks.ai/serverless/pricing</x:v>
      </x:c>
      <x:c r="Q16" s="13" t="str">
        <x:v>2026-07-15</x:v>
      </x:c>
    </x:row>
    <x:row r="17" ht="42" customHeight="1">
      <x:c r="A17" s="13" t="str">
        <x:v>API-013</x:v>
      </x:c>
      <x:c r="B17" s="13" t="str">
        <x:v>Groq</x:v>
      </x:c>
      <x:c r="C17" s="13" t="str">
        <x:v>GPT-OSS 120B</x:v>
      </x:c>
      <x:c r="D17" s="13" t="str">
        <x:v>Managed open-model API</x:v>
      </x:c>
      <x:c r="E17" s="13" t="str">
        <x:v>Open fast reasoning</x:v>
      </x:c>
      <x:c r="F17" s="13" t="str">
        <x:v>Serverless PAYG</x:v>
      </x:c>
      <x:c r="G17" s="13" t="str">
        <x:v>Published</x:v>
      </x:c>
      <x:c r="H17" s="76" t="n">
        <x:v>0.15</x:v>
      </x:c>
      <x:c r="I17" s="76" t="n">
        <x:v>0.075</x:v>
      </x:c>
      <x:c r="J17" s="76" t="n">
        <x:v>0.6</x:v>
      </x:c>
      <x:c r="K17" s="77" t="n">
        <x:f>H17*'Assumptions'!$B$5/1000000+J17*'Assumptions'!$B$6/1000000</x:f>
        <x:v>0.0075</x:v>
      </x:c>
      <x:c r="L17" s="77" t="n">
        <x:f>((1-'Assumptions'!$B$8)*H17+'Assumptions'!$B$8*IF(I17="",H17,I17))*'Assumptions'!$B$5/1000000+J17*'Assumptions'!$B$6/1000000</x:f>
        <x:v>0.006375</x:v>
      </x:c>
      <x:c r="M17" s="77" t="n">
        <x:f>H17*'Assumptions'!$B$5/'Assumptions'!$B$7+J17*'Assumptions'!$B$6/'Assumptions'!$B$7</x:f>
        <x:v>0.21428571428571427</x:v>
      </x:c>
      <x:c r="N17" s="78" t="n">
        <x:f>'Assumptions'!$B$5/'Assumptions'!$B$7</x:f>
        <x:v>0.8571428571428571</x:v>
      </x:c>
      <x:c r="O17" s="13" t="str">
        <x:v>Cached rate applies only to cache hits.</x:v>
      </x:c>
      <x:c r="P17" s="13" t="str">
        <x:v>https://console.groq.com/docs/model/openai/gpt-oss-120b</x:v>
      </x:c>
      <x:c r="Q17" s="13" t="str">
        <x:v>2026-07-15</x:v>
      </x:c>
    </x:row>
    <x:row r="18" ht="42" customHeight="1">
      <x:c r="A18" s="13" t="str">
        <x:v>API-014</x:v>
      </x:c>
      <x:c r="B18" s="13" t="str">
        <x:v>DeepInfra</x:v>
      </x:c>
      <x:c r="C18" s="13" t="str">
        <x:v>Kimi K2.7 Code</x:v>
      </x:c>
      <x:c r="D18" s="13" t="str">
        <x:v>Managed open-model API</x:v>
      </x:c>
      <x:c r="E18" s="13" t="str">
        <x:v>Open coding</x:v>
      </x:c>
      <x:c r="F18" s="13" t="str">
        <x:v>Standard PAYG</x:v>
      </x:c>
      <x:c r="G18" s="13" t="str">
        <x:v>Published</x:v>
      </x:c>
      <x:c r="H18" s="76" t="n">
        <x:v>0.74</x:v>
      </x:c>
      <x:c r="I18" s="76" t="n">
        <x:v>0.15</x:v>
      </x:c>
      <x:c r="J18" s="76" t="n">
        <x:v>3.5</x:v>
      </x:c>
      <x:c r="K18" s="77" t="n">
        <x:f>H18*'Assumptions'!$B$5/1000000+J18*'Assumptions'!$B$6/1000000</x:f>
        <x:v>0.0397</x:v>
      </x:c>
      <x:c r="L18" s="77" t="n">
        <x:f>((1-'Assumptions'!$B$8)*H18+'Assumptions'!$B$8*IF(I18="",H18,I18))*'Assumptions'!$B$5/1000000+J18*'Assumptions'!$B$6/1000000</x:f>
        <x:v>0.030850000000000002</x:v>
      </x:c>
      <x:c r="M18" s="77" t="n">
        <x:f>H18*'Assumptions'!$B$5/'Assumptions'!$B$7+J18*'Assumptions'!$B$6/'Assumptions'!$B$7</x:f>
        <x:v>1.1342857142857143</x:v>
      </x:c>
      <x:c r="N18" s="78" t="n">
        <x:f>'Assumptions'!$B$5/'Assumptions'!$B$7</x:f>
        <x:v>0.8571428571428571</x:v>
      </x:c>
      <x:c r="O18" s="13" t="str">
        <x:v>Priority is 1.5x; Flex is 0.8x. Reasoning is billed as output.</x:v>
      </x:c>
      <x:c r="P18" s="13" t="str">
        <x:v>https://deepinfra.com/moonshotai/Kimi-K2.7-Code</x:v>
      </x:c>
      <x:c r="Q18" s="13" t="str">
        <x:v>2026-07-15</x:v>
      </x:c>
    </x:row>
    <x:row r="19" ht="42" customHeight="1">
      <x:c r="A19" s="13" t="str">
        <x:v>API-015</x:v>
      </x:c>
      <x:c r="B19" s="13" t="str">
        <x:v>Cerebras</x:v>
      </x:c>
      <x:c r="C19" s="13" t="str">
        <x:v>GPT-OSS 120B</x:v>
      </x:c>
      <x:c r="D19" s="13" t="str">
        <x:v>Managed open-model API</x:v>
      </x:c>
      <x:c r="E19" s="13" t="str">
        <x:v>Open high-throughput</x:v>
      </x:c>
      <x:c r="F19" s="13" t="str">
        <x:v>Public-model PAYG</x:v>
      </x:c>
      <x:c r="G19" s="13" t="str">
        <x:v>Published</x:v>
      </x:c>
      <x:c r="H19" s="76" t="n">
        <x:v>0.35</x:v>
      </x:c>
      <x:c r="I19" s="76"/>
      <x:c r="J19" s="76" t="n">
        <x:v>0.75</x:v>
      </x:c>
      <x:c r="K19" s="77" t="n">
        <x:f>H19*'Assumptions'!$B$5/1000000+J19*'Assumptions'!$B$6/1000000</x:f>
        <x:v>0.01425</x:v>
      </x:c>
      <x:c r="L19" s="77" t="n">
        <x:f>((1-'Assumptions'!$B$8)*H19+'Assumptions'!$B$8*IF(I19="",H19,I19))*'Assumptions'!$B$5/1000000+J19*'Assumptions'!$B$6/1000000</x:f>
        <x:v>0.01425</x:v>
      </x:c>
      <x:c r="M19" s="77" t="n">
        <x:f>H19*'Assumptions'!$B$5/'Assumptions'!$B$7+J19*'Assumptions'!$B$6/'Assumptions'!$B$7</x:f>
        <x:v>0.40714285714285714</x:v>
      </x:c>
      <x:c r="N19" s="78" t="n">
        <x:f>'Assumptions'!$B$5/'Assumptions'!$B$7</x:f>
        <x:v>0.8571428571428571</x:v>
      </x:c>
      <x:c r="O19" s="13" t="str">
        <x:v>No cached-input price published.</x:v>
      </x:c>
      <x:c r="P19" s="13" t="str">
        <x:v>https://www.cerebras.ai/pricing</x:v>
      </x:c>
      <x:c r="Q19" s="13" t="str">
        <x:v>2026-07-15</x:v>
      </x:c>
    </x:row>
    <x:row r="20" ht="42" customHeight="1">
      <x:c r="A20" s="13" t="str">
        <x:v>API-016</x:v>
      </x:c>
      <x:c r="B20" s="13" t="str">
        <x:v>SambaNova</x:v>
      </x:c>
      <x:c r="C20" s="13" t="str">
        <x:v>GPT-OSS 120B</x:v>
      </x:c>
      <x:c r="D20" s="13" t="str">
        <x:v>Managed open-model API</x:v>
      </x:c>
      <x:c r="E20" s="13" t="str">
        <x:v>Open high-throughput</x:v>
      </x:c>
      <x:c r="F20" s="13" t="str">
        <x:v>Developer PAYG</x:v>
      </x:c>
      <x:c r="G20" s="13" t="str">
        <x:v>Published</x:v>
      </x:c>
      <x:c r="H20" s="76" t="n">
        <x:v>0.22</x:v>
      </x:c>
      <x:c r="I20" s="76"/>
      <x:c r="J20" s="76" t="n">
        <x:v>0.59</x:v>
      </x:c>
      <x:c r="K20" s="77" t="n">
        <x:f>H20*'Assumptions'!$B$5/1000000+J20*'Assumptions'!$B$6/1000000</x:f>
        <x:v>0.00955</x:v>
      </x:c>
      <x:c r="L20" s="77" t="n">
        <x:f>((1-'Assumptions'!$B$8)*H20+'Assumptions'!$B$8*IF(I20="",H20,I20))*'Assumptions'!$B$5/1000000+J20*'Assumptions'!$B$6/1000000</x:f>
        <x:v>0.00955</x:v>
      </x:c>
      <x:c r="M20" s="77" t="n">
        <x:f>H20*'Assumptions'!$B$5/'Assumptions'!$B$7+J20*'Assumptions'!$B$6/'Assumptions'!$B$7</x:f>
        <x:v>0.27285714285714285</x:v>
      </x:c>
      <x:c r="N20" s="78" t="n">
        <x:f>'Assumptions'!$B$5/'Assumptions'!$B$7</x:f>
        <x:v>0.8571428571428571</x:v>
      </x:c>
      <x:c r="O20" s="13" t="str">
        <x:v>No cached-input price published.</x:v>
      </x:c>
      <x:c r="P20" s="13" t="str">
        <x:v>https://cloud.sambanova.ai/plans/pricing</x:v>
      </x:c>
      <x:c r="Q20" s="13" t="str">
        <x:v>2026-07-15</x:v>
      </x:c>
    </x:row>
    <x:row r="21" ht="42" customHeight="1">
      <x:c r="A21" s="13" t="str">
        <x:v>API-017</x:v>
      </x:c>
      <x:c r="B21" s="13" t="str">
        <x:v>Baseten</x:v>
      </x:c>
      <x:c r="C21" s="13" t="str">
        <x:v>GPT-OSS 120B</x:v>
      </x:c>
      <x:c r="D21" s="13" t="str">
        <x:v>Managed open-model API</x:v>
      </x:c>
      <x:c r="E21" s="13" t="str">
        <x:v>Open reasoning</x:v>
      </x:c>
      <x:c r="F21" s="13" t="str">
        <x:v>Model API PAYG</x:v>
      </x:c>
      <x:c r="G21" s="13" t="str">
        <x:v>Published</x:v>
      </x:c>
      <x:c r="H21" s="76" t="n">
        <x:v>0.1</x:v>
      </x:c>
      <x:c r="I21" s="76"/>
      <x:c r="J21" s="76" t="n">
        <x:v>0.5</x:v>
      </x:c>
      <x:c r="K21" s="77" t="n">
        <x:f>H21*'Assumptions'!$B$5/1000000+J21*'Assumptions'!$B$6/1000000</x:f>
        <x:v>0.0055</x:v>
      </x:c>
      <x:c r="L21" s="77" t="n">
        <x:f>((1-'Assumptions'!$B$8)*H21+'Assumptions'!$B$8*IF(I21="",H21,I21))*'Assumptions'!$B$5/1000000+J21*'Assumptions'!$B$6/1000000</x:f>
        <x:v>0.0055</x:v>
      </x:c>
      <x:c r="M21" s="77" t="n">
        <x:f>H21*'Assumptions'!$B$5/'Assumptions'!$B$7+J21*'Assumptions'!$B$6/'Assumptions'!$B$7</x:f>
        <x:v>0.15714285714285714</x:v>
      </x:c>
      <x:c r="N21" s="78" t="n">
        <x:f>'Assumptions'!$B$5/'Assumptions'!$B$7</x:f>
        <x:v>0.8571428571428571</x:v>
      </x:c>
      <x:c r="O21" s="13" t="str">
        <x:v>GPT-OSS is excluded from Baseten cached-token pricing.</x:v>
      </x:c>
      <x:c r="P21" s="13" t="str">
        <x:v>https://www.baseten.co/pricing/</x:v>
      </x:c>
      <x:c r="Q21" s="13" t="str">
        <x:v>2026-07-15</x:v>
      </x:c>
    </x:row>
    <x:row r="22" ht="42" customHeight="1">
      <x:c r="A22" s="13" t="str">
        <x:v>API-018</x:v>
      </x:c>
      <x:c r="B22" s="13" t="str">
        <x:v>Replicate</x:v>
      </x:c>
      <x:c r="C22" s="13" t="str">
        <x:v>GPT-OSS 120B</x:v>
      </x:c>
      <x:c r="D22" s="13" t="str">
        <x:v>Managed open-model API</x:v>
      </x:c>
      <x:c r="E22" s="13" t="str">
        <x:v>Open reasoning</x:v>
      </x:c>
      <x:c r="F22" s="13" t="str">
        <x:v>Official-model PAYG</x:v>
      </x:c>
      <x:c r="G22" s="13" t="str">
        <x:v>Published</x:v>
      </x:c>
      <x:c r="H22" s="76" t="n">
        <x:v>0.18</x:v>
      </x:c>
      <x:c r="I22" s="76"/>
      <x:c r="J22" s="76" t="n">
        <x:v>0.72</x:v>
      </x:c>
      <x:c r="K22" s="77" t="n">
        <x:f>H22*'Assumptions'!$B$5/1000000+J22*'Assumptions'!$B$6/1000000</x:f>
        <x:v>0.009000000000000001</x:v>
      </x:c>
      <x:c r="L22" s="77" t="n">
        <x:f>((1-'Assumptions'!$B$8)*H22+'Assumptions'!$B$8*IF(I22="",H22,I22))*'Assumptions'!$B$5/1000000+J22*'Assumptions'!$B$6/1000000</x:f>
        <x:v>0.009000000000000001</x:v>
      </x:c>
      <x:c r="M22" s="77" t="n">
        <x:f>H22*'Assumptions'!$B$5/'Assumptions'!$B$7+J22*'Assumptions'!$B$6/'Assumptions'!$B$7</x:f>
        <x:v>0.2571428571428571</x:v>
      </x:c>
      <x:c r="N22" s="78" t="n">
        <x:f>'Assumptions'!$B$5/'Assumptions'!$B$7</x:f>
        <x:v>0.8571428571428571</x:v>
      </x:c>
      <x:c r="O22" s="13" t="str">
        <x:v>Always-warm official model; no cached-input price published.</x:v>
      </x:c>
      <x:c r="P22" s="13" t="str">
        <x:v>https://replicate.com/openai/gpt-oss-120b</x:v>
      </x:c>
      <x:c r="Q22" s="13" t="str">
        <x:v>2026-07-15</x:v>
      </x:c>
    </x:row>
    <x:row r="23" ht="42" customHeight="1">
      <x:c r="A23" s="13" t="str">
        <x:v>API-019</x:v>
      </x:c>
      <x:c r="B23" s="13" t="str">
        <x:v>DeepSeek</x:v>
      </x:c>
      <x:c r="C23" s="13" t="str">
        <x:v>DeepSeek V4 Pro</x:v>
      </x:c>
      <x:c r="D23" s="13" t="str">
        <x:v>Direct open-model API</x:v>
      </x:c>
      <x:c r="E23" s="13" t="str">
        <x:v>Open frontier-class coding</x:v>
      </x:c>
      <x:c r="F23" s="13" t="str">
        <x:v>Direct PAYG</x:v>
      </x:c>
      <x:c r="G23" s="13" t="str">
        <x:v>Published</x:v>
      </x:c>
      <x:c r="H23" s="76" t="n">
        <x:v>0.435</x:v>
      </x:c>
      <x:c r="I23" s="76" t="n">
        <x:v>0.003625</x:v>
      </x:c>
      <x:c r="J23" s="76" t="n">
        <x:v>0.87</x:v>
      </x:c>
      <x:c r="K23" s="77" t="n">
        <x:f>H23*'Assumptions'!$B$5/1000000+J23*'Assumptions'!$B$6/1000000</x:f>
        <x:v>0.0174</x:v>
      </x:c>
      <x:c r="L23" s="77" t="n">
        <x:f>((1-'Assumptions'!$B$8)*H23+'Assumptions'!$B$8*IF(I23="",H23,I23))*'Assumptions'!$B$5/1000000+J23*'Assumptions'!$B$6/1000000</x:f>
        <x:v>0.010929375</x:v>
      </x:c>
      <x:c r="M23" s="77" t="n">
        <x:f>H23*'Assumptions'!$B$5/'Assumptions'!$B$7+J23*'Assumptions'!$B$6/'Assumptions'!$B$7</x:f>
        <x:v>0.4971428571428571</x:v>
      </x:c>
      <x:c r="N23" s="78" t="n">
        <x:f>'Assumptions'!$B$5/'Assumptions'!$B$7</x:f>
        <x:v>0.8571428571428571</x:v>
      </x:c>
      <x:c r="O23" s="13" t="str">
        <x:v>Input is cache-miss rate; legacy aliases change on 2026-07-24.</x:v>
      </x:c>
      <x:c r="P23" s="13" t="str">
        <x:v>https://api-docs.deepseek.com/quick_start/pricing</x:v>
      </x:c>
      <x:c r="Q23" s="13" t="str">
        <x:v>2026-07-15</x:v>
      </x:c>
    </x:row>
    <x:row r="24" ht="42" customHeight="1">
      <x:c r="A24" s="13" t="str">
        <x:v>API-020</x:v>
      </x:c>
      <x:c r="B24" s="13" t="str">
        <x:v>DeepSeek</x:v>
      </x:c>
      <x:c r="C24" s="13" t="str">
        <x:v>DeepSeek V4 Flash</x:v>
      </x:c>
      <x:c r="D24" s="13" t="str">
        <x:v>Direct open-model API</x:v>
      </x:c>
      <x:c r="E24" s="13" t="str">
        <x:v>Open efficient agentic</x:v>
      </x:c>
      <x:c r="F24" s="13" t="str">
        <x:v>Direct PAYG</x:v>
      </x:c>
      <x:c r="G24" s="13" t="str">
        <x:v>Published</x:v>
      </x:c>
      <x:c r="H24" s="76" t="n">
        <x:v>0.14</x:v>
      </x:c>
      <x:c r="I24" s="76" t="n">
        <x:v>0.0028</x:v>
      </x:c>
      <x:c r="J24" s="76" t="n">
        <x:v>0.28</x:v>
      </x:c>
      <x:c r="K24" s="77" t="n">
        <x:f>H24*'Assumptions'!$B$5/1000000+J24*'Assumptions'!$B$6/1000000</x:f>
        <x:v>0.0056</x:v>
      </x:c>
      <x:c r="L24" s="77" t="n">
        <x:f>((1-'Assumptions'!$B$8)*H24+'Assumptions'!$B$8*IF(I24="",H24,I24))*'Assumptions'!$B$5/1000000+J24*'Assumptions'!$B$6/1000000</x:f>
        <x:v>0.003542</x:v>
      </x:c>
      <x:c r="M24" s="77" t="n">
        <x:f>H24*'Assumptions'!$B$5/'Assumptions'!$B$7+J24*'Assumptions'!$B$6/'Assumptions'!$B$7</x:f>
        <x:v>0.16</x:v>
      </x:c>
      <x:c r="N24" s="78" t="n">
        <x:f>'Assumptions'!$B$5/'Assumptions'!$B$7</x:f>
        <x:v>0.8571428571428571</x:v>
      </x:c>
      <x:c r="O24" s="13" t="str">
        <x:v>Automatic disk cache; 1M context.</x:v>
      </x:c>
      <x:c r="P24" s="13" t="str">
        <x:v>https://api-docs.deepseek.com/quick_start/pricing</x:v>
      </x:c>
      <x:c r="Q24" s="13" t="str">
        <x:v>2026-07-15</x:v>
      </x:c>
    </x:row>
    <x:row r="25" ht="42" customHeight="1">
      <x:c r="A25" s="13" t="str">
        <x:v>API-021</x:v>
      </x:c>
      <x:c r="B25" s="13" t="str">
        <x:v>Mistral AI</x:v>
      </x:c>
      <x:c r="C25" s="13" t="str">
        <x:v>Mistral Medium 3.5</x:v>
      </x:c>
      <x:c r="D25" s="13" t="str">
        <x:v>Direct model-lab API</x:v>
      </x:c>
      <x:c r="E25" s="13" t="str">
        <x:v>Frontier-class agentic / coding</x:v>
      </x:c>
      <x:c r="F25" s="13" t="str">
        <x:v>Direct PAYG</x:v>
      </x:c>
      <x:c r="G25" s="13" t="str">
        <x:v>Published</x:v>
      </x:c>
      <x:c r="H25" s="76" t="n">
        <x:v>1.5</x:v>
      </x:c>
      <x:c r="I25" s="76"/>
      <x:c r="J25" s="76" t="n">
        <x:v>7.5</x:v>
      </x:c>
      <x:c r="K25" s="77" t="n">
        <x:f>H25*'Assumptions'!$B$5/1000000+J25*'Assumptions'!$B$6/1000000</x:f>
        <x:v>0.08249999999999999</x:v>
      </x:c>
      <x:c r="L25" s="77" t="n">
        <x:f>((1-'Assumptions'!$B$8)*H25+'Assumptions'!$B$8*IF(I25="",H25,I25))*'Assumptions'!$B$5/1000000+J25*'Assumptions'!$B$6/1000000</x:f>
        <x:v>0.08249999999999999</x:v>
      </x:c>
      <x:c r="M25" s="77" t="n">
        <x:f>H25*'Assumptions'!$B$5/'Assumptions'!$B$7+J25*'Assumptions'!$B$6/'Assumptions'!$B$7</x:f>
        <x:v>2.357142857142857</x:v>
      </x:c>
      <x:c r="N25" s="78" t="n">
        <x:f>'Assumptions'!$B$5/'Assumptions'!$B$7</x:f>
        <x:v>0.8571428571428571</x:v>
      </x:c>
      <x:c r="O25" s="13" t="str">
        <x:v>Pricing page advertises cache discounts but model-specific applicability is ambiguous.</x:v>
      </x:c>
      <x:c r="P25" s="13" t="str">
        <x:v>https://mistral.ai/pricing/api/</x:v>
      </x:c>
      <x:c r="Q25" s="13" t="str">
        <x:v>2026-07-15</x:v>
      </x:c>
    </x:row>
    <x:row r="26" ht="42" customHeight="1">
      <x:c r="A26" s="13" t="str">
        <x:v>API-022</x:v>
      </x:c>
      <x:c r="B26" s="13" t="str">
        <x:v>Z.AI</x:v>
      </x:c>
      <x:c r="C26" s="13" t="str">
        <x:v>GLM-5.1</x:v>
      </x:c>
      <x:c r="D26" s="13" t="str">
        <x:v>Direct open-model API</x:v>
      </x:c>
      <x:c r="E26" s="13" t="str">
        <x:v>Open frontier-class coding</x:v>
      </x:c>
      <x:c r="F26" s="13" t="str">
        <x:v>Direct PAYG</x:v>
      </x:c>
      <x:c r="G26" s="13" t="str">
        <x:v>Published</x:v>
      </x:c>
      <x:c r="H26" s="76" t="n">
        <x:v>1.4</x:v>
      </x:c>
      <x:c r="I26" s="76" t="n">
        <x:v>0.26</x:v>
      </x:c>
      <x:c r="J26" s="76" t="n">
        <x:v>4.4</x:v>
      </x:c>
      <x:c r="K26" s="77" t="n">
        <x:f>H26*'Assumptions'!$B$5/1000000+J26*'Assumptions'!$B$6/1000000</x:f>
        <x:v>0.064</x:v>
      </x:c>
      <x:c r="L26" s="77" t="n">
        <x:f>((1-'Assumptions'!$B$8)*H26+'Assumptions'!$B$8*IF(I26="",H26,I26))*'Assumptions'!$B$5/1000000+J26*'Assumptions'!$B$6/1000000</x:f>
        <x:v>0.0469</x:v>
      </x:c>
      <x:c r="M26" s="77" t="n">
        <x:f>H26*'Assumptions'!$B$5/'Assumptions'!$B$7+J26*'Assumptions'!$B$6/'Assumptions'!$B$7</x:f>
        <x:v>1.8285714285714285</x:v>
      </x:c>
      <x:c r="N26" s="78" t="n">
        <x:f>'Assumptions'!$B$5/'Assumptions'!$B$7</x:f>
        <x:v>0.8571428571428571</x:v>
      </x:c>
      <x:c r="O26" s="13" t="str">
        <x:v>Cached-input storage advertised as limited-time free.</x:v>
      </x:c>
      <x:c r="P26" s="13" t="str">
        <x:v>https://docs.z.ai/guides/overview/pricing</x:v>
      </x:c>
      <x:c r="Q26" s="13" t="str">
        <x:v>2026-07-15</x:v>
      </x:c>
    </x:row>
    <x:row r="27" ht="42" customHeight="1">
      <x:c r="A27" s="13" t="str">
        <x:v>API-023</x:v>
      </x:c>
      <x:c r="B27" s="13" t="str">
        <x:v>DeepInfra</x:v>
      </x:c>
      <x:c r="C27" s="13" t="str">
        <x:v>DeepSeek V4 Pro</x:v>
      </x:c>
      <x:c r="D27" s="13" t="str">
        <x:v>Managed open-model API</x:v>
      </x:c>
      <x:c r="E27" s="13" t="str">
        <x:v>Open frontier-class coding</x:v>
      </x:c>
      <x:c r="F27" s="13" t="str">
        <x:v>Standard PAYG</x:v>
      </x:c>
      <x:c r="G27" s="13" t="str">
        <x:v>Published</x:v>
      </x:c>
      <x:c r="H27" s="76" t="n">
        <x:v>1.3</x:v>
      </x:c>
      <x:c r="I27" s="76" t="n">
        <x:v>0.1</x:v>
      </x:c>
      <x:c r="J27" s="76" t="n">
        <x:v>2.6</x:v>
      </x:c>
      <x:c r="K27" s="77" t="n">
        <x:f>H27*'Assumptions'!$B$5/1000000+J27*'Assumptions'!$B$6/1000000</x:f>
        <x:v>0.052</x:v>
      </x:c>
      <x:c r="L27" s="77" t="n">
        <x:f>((1-'Assumptions'!$B$8)*H27+'Assumptions'!$B$8*IF(I27="",H27,I27))*'Assumptions'!$B$5/1000000+J27*'Assumptions'!$B$6/1000000</x:f>
        <x:v>0.034</x:v>
      </x:c>
      <x:c r="M27" s="77" t="n">
        <x:f>H27*'Assumptions'!$B$5/'Assumptions'!$B$7+J27*'Assumptions'!$B$6/'Assumptions'!$B$7</x:f>
        <x:v>1.4857142857142858</x:v>
      </x:c>
      <x:c r="N27" s="78" t="n">
        <x:f>'Assumptions'!$B$5/'Assumptions'!$B$7</x:f>
        <x:v>0.8571428571428571</x:v>
      </x:c>
      <x:c r="O27" s="13" t="str">
        <x:v>FP4 deployment; provider tiers may change latency and price.</x:v>
      </x:c>
      <x:c r="P27" s="13" t="str">
        <x:v>https://deepinfra.com/</x:v>
      </x:c>
      <x:c r="Q27" s="13" t="str">
        <x:v>2026-07-15</x:v>
      </x:c>
    </x:row>
    <x:row r="28" ht="42" customHeight="1">
      <x:c r="A28" s="13" t="str">
        <x:v>API-024</x:v>
      </x:c>
      <x:c r="B28" s="13" t="str">
        <x:v>Crusoe</x:v>
      </x:c>
      <x:c r="C28" s="13" t="str">
        <x:v>DeepSeek V4 Pro</x:v>
      </x:c>
      <x:c r="D28" s="13" t="str">
        <x:v>Managed open-model API</x:v>
      </x:c>
      <x:c r="E28" s="13" t="str">
        <x:v>Open frontier-class coding</x:v>
      </x:c>
      <x:c r="F28" s="13" t="str">
        <x:v>Serverless PAYG</x:v>
      </x:c>
      <x:c r="G28" s="13" t="str">
        <x:v>Published</x:v>
      </x:c>
      <x:c r="H28" s="76" t="n">
        <x:v>1.74</x:v>
      </x:c>
      <x:c r="I28" s="76" t="n">
        <x:v>0.15</x:v>
      </x:c>
      <x:c r="J28" s="76" t="n">
        <x:v>3.48</x:v>
      </x:c>
      <x:c r="K28" s="77" t="n">
        <x:f>H28*'Assumptions'!$B$5/1000000+J28*'Assumptions'!$B$6/1000000</x:f>
        <x:v>0.0696</x:v>
      </x:c>
      <x:c r="L28" s="77" t="n">
        <x:f>((1-'Assumptions'!$B$8)*H28+'Assumptions'!$B$8*IF(I28="",H28,I28))*'Assumptions'!$B$5/1000000+J28*'Assumptions'!$B$6/1000000</x:f>
        <x:v>0.04575</x:v>
      </x:c>
      <x:c r="M28" s="77" t="n">
        <x:f>H28*'Assumptions'!$B$5/'Assumptions'!$B$7+J28*'Assumptions'!$B$6/'Assumptions'!$B$7</x:f>
        <x:v>1.9885714285714284</x:v>
      </x:c>
      <x:c r="N28" s="78" t="n">
        <x:f>'Assumptions'!$B$5/'Assumptions'!$B$7</x:f>
        <x:v>0.8571428571428571</x:v>
      </x:c>
      <x:c r="O28" s="13" t="str">
        <x:v>Separate self-serve dedicated endpoints are billed per GPU-hour.</x:v>
      </x:c>
      <x:c r="P28" s="13" t="str">
        <x:v>https://www.crusoe.ai/cloud/pricing</x:v>
      </x:c>
      <x:c r="Q28" s="13" t="str">
        <x:v>2026-07-15</x:v>
      </x:c>
    </x:row>
  </x:sheetData>
  <x:mergeCells>
    <x:mergeCell ref="A1:Q1"/>
    <x:mergeCell ref="A2:Q2"/>
  </x:mergeCells>
  <x:conditionalFormatting sqref="G5:G28">
    <x:cfRule type="containsText" dxfId="0" priority="1" operator="containsText" text="Published"/>
    <x:cfRule type="containsText" dxfId="1" priority="2" operator="containsText" text="Live"/>
    <x:cfRule type="containsText" dxfId="2" priority="3" operator="containsText" text="Estimated"/>
    <x:cfRule type="containsText" dxfId="3" priority="4" operator="containsText" text="Derived"/>
  </x:conditionalFormatting>
  <x:pageMargins left="0.7" right="0.7" top="0.75" bottom="0.75" header="0.3" footer="0.3"/>
  <x:tableParts count="1">
    <x:tablePart xmlns:r="http://schemas.openxmlformats.org/officeDocument/2006/relationships" r:id="R4a70fa8d8a774d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5" hidden="0" customWidth="1"/>
    <x:col min="4" max="4" width="18" hidden="0" customWidth="1"/>
    <x:col min="5" max="5" width="28" hidden="0" customWidth="1"/>
    <x:col min="6" max="6" width="16" hidden="0" customWidth="1"/>
    <x:col min="7" max="7" width="11" hidden="0" customWidth="1"/>
    <x:col min="8" max="8" width="14" hidden="0" customWidth="1"/>
    <x:col min="9" max="9" width="14" hidden="0" customWidth="1"/>
    <x:col min="10" max="10" width="19" hidden="0" customWidth="1"/>
    <x:col min="11" max="11" width="28" hidden="0" customWidth="1"/>
    <x:col min="12" max="12" width="12" hidden="0" customWidth="1"/>
    <x:col min="13" max="13" width="21" hidden="0" customWidth="1"/>
    <x:col min="14" max="14" width="48" hidden="0" customWidth="1"/>
    <x:col min="15" max="15" width="72" hidden="0" customWidth="1"/>
    <x:col min="16" max="16" width="14" hidden="0" customWidth="1"/>
  </x:cols>
  <x:sheetData>
    <x:row r="1" ht="32" customHeight="1">
      <x:c r="A1" s="3" t="str">
        <x:v>Published GPU rental price observations</x:v>
      </x:c>
      <x:c r="B1" s="3" t="str">
        <x:v>Published GPU rental price observations</x:v>
      </x:c>
      <x:c r="C1" s="3" t="str">
        <x:v>Published GPU rental price observations</x:v>
      </x:c>
      <x:c r="D1" s="3" t="str">
        <x:v>Published GPU rental price observations</x:v>
      </x:c>
      <x:c r="E1" s="3" t="str">
        <x:v>Published GPU rental price observations</x:v>
      </x:c>
      <x:c r="F1" s="3" t="str">
        <x:v>Published GPU rental price observations</x:v>
      </x:c>
      <x:c r="G1" s="3" t="str">
        <x:v>Published GPU rental price observations</x:v>
      </x:c>
      <x:c r="H1" s="3" t="str">
        <x:v>Published GPU rental price observations</x:v>
      </x:c>
      <x:c r="I1" s="3" t="str">
        <x:v>Published GPU rental price observations</x:v>
      </x:c>
      <x:c r="J1" s="3" t="str">
        <x:v>Published GPU rental price observations</x:v>
      </x:c>
      <x:c r="K1" s="3" t="str">
        <x:v>Published GPU rental price observations</x:v>
      </x:c>
      <x:c r="L1" s="3" t="str">
        <x:v>Published GPU rental price observations</x:v>
      </x:c>
      <x:c r="M1" s="3" t="str">
        <x:v>Published GPU rental price observations</x:v>
      </x:c>
      <x:c r="N1" s="3" t="str">
        <x:v>Published GPU rental price observations</x:v>
      </x:c>
      <x:c r="O1" s="3" t="str">
        <x:v>Published GPU rental price observations</x:v>
      </x:c>
      <x:c r="P1" s="3" t="str">
        <x:v>Published GPU rental price observations</x:v>
      </x:c>
    </x:row>
    <x:row r="2" ht="30" customHeight="1">
      <x:c r="A2" s="7" t="str">
        <x:v>These are infrastructure prices, not token prices. Per-token economics require the separate benchmark-derived Infra Model sheet.</x:v>
      </x:c>
      <x:c r="B2" s="7" t="str">
        <x:v>These are infrastructure prices, not token prices. Per-token economics require the separate benchmark-derived Infra Model sheet.</x:v>
      </x:c>
      <x:c r="C2" s="7" t="str">
        <x:v>These are infrastructure prices, not token prices. Per-token economics require the separate benchmark-derived Infra Model sheet.</x:v>
      </x:c>
      <x:c r="D2" s="7" t="str">
        <x:v>These are infrastructure prices, not token prices. Per-token economics require the separate benchmark-derived Infra Model sheet.</x:v>
      </x:c>
      <x:c r="E2" s="7" t="str">
        <x:v>These are infrastructure prices, not token prices. Per-token economics require the separate benchmark-derived Infra Model sheet.</x:v>
      </x:c>
      <x:c r="F2" s="7" t="str">
        <x:v>These are infrastructure prices, not token prices. Per-token economics require the separate benchmark-derived Infra Model sheet.</x:v>
      </x:c>
      <x:c r="G2" s="7" t="str">
        <x:v>These are infrastructure prices, not token prices. Per-token economics require the separate benchmark-derived Infra Model sheet.</x:v>
      </x:c>
      <x:c r="H2" s="7" t="str">
        <x:v>These are infrastructure prices, not token prices. Per-token economics require the separate benchmark-derived Infra Model sheet.</x:v>
      </x:c>
      <x:c r="I2" s="7" t="str">
        <x:v>These are infrastructure prices, not token prices. Per-token economics require the separate benchmark-derived Infra Model sheet.</x:v>
      </x:c>
      <x:c r="J2" s="7" t="str">
        <x:v>These are infrastructure prices, not token prices. Per-token economics require the separate benchmark-derived Infra Model sheet.</x:v>
      </x:c>
      <x:c r="K2" s="7" t="str">
        <x:v>These are infrastructure prices, not token prices. Per-token economics require the separate benchmark-derived Infra Model sheet.</x:v>
      </x:c>
      <x:c r="L2" s="7" t="str">
        <x:v>These are infrastructure prices, not token prices. Per-token economics require the separate benchmark-derived Infra Model sheet.</x:v>
      </x:c>
      <x:c r="M2" s="7" t="str">
        <x:v>These are infrastructure prices, not token prices. Per-token economics require the separate benchmark-derived Infra Model sheet.</x:v>
      </x:c>
      <x:c r="N2" s="7" t="str">
        <x:v>These are infrastructure prices, not token prices. Per-token economics require the separate benchmark-derived Infra Model sheet.</x:v>
      </x:c>
      <x:c r="O2" s="7" t="str">
        <x:v>These are infrastructure prices, not token prices. Per-token economics require the separate benchmark-derived Infra Model sheet.</x:v>
      </x:c>
      <x:c r="P2" s="7" t="str">
        <x:v>These are infrastructure prices, not token prices. Per-token economics require the separate benchmark-derived Infra Model sheet.</x:v>
      </x:c>
    </x:row>
    <x:row r="4" ht="34" customHeight="1">
      <x:c r="A4" s="35" t="str">
        <x:v>ID</x:v>
      </x:c>
      <x:c r="B4" s="36" t="str">
        <x:v>Provider</x:v>
      </x:c>
      <x:c r="C4" s="36" t="str">
        <x:v>Category</x:v>
      </x:c>
      <x:c r="D4" s="36" t="str">
        <x:v>Region</x:v>
      </x:c>
      <x:c r="E4" s="36" t="str">
        <x:v>Instance / offer</x:v>
      </x:c>
      <x:c r="F4" s="36" t="str">
        <x:v>GPU</x:v>
      </x:c>
      <x:c r="G4" s="36" t="str">
        <x:v>GPU count</x:v>
      </x:c>
      <x:c r="H4" s="36" t="str">
        <x:v>Memory / GPU (GB)</x:v>
      </x:c>
      <x:c r="I4" s="36" t="str">
        <x:v>Node $/hour</x:v>
      </x:c>
      <x:c r="J4" s="36" t="str">
        <x:v>Commitment</x:v>
      </x:c>
      <x:c r="K4" s="36" t="str">
        <x:v>Price status</x:v>
      </x:c>
      <x:c r="L4" s="36" t="str">
        <x:v>Interruptible</x:v>
      </x:c>
      <x:c r="M4" s="36" t="str">
        <x:v>Quote timestamp</x:v>
      </x:c>
      <x:c r="N4" s="36" t="str">
        <x:v>Caveat</x:v>
      </x:c>
      <x:c r="O4" s="36" t="str">
        <x:v>Source URL</x:v>
      </x:c>
      <x:c r="P4" s="37" t="str">
        <x:v>Access date</x:v>
      </x:c>
    </x:row>
    <x:row r="5" ht="40" customHeight="1">
      <x:c r="A5" s="13" t="str">
        <x:v>GPU-001</x:v>
      </x:c>
      <x:c r="B5" s="13" t="str">
        <x:v>AWS</x:v>
      </x:c>
      <x:c r="C5" s="13" t="str">
        <x:v>Hyperscaler</x:v>
      </x:c>
      <x:c r="D5" s="13" t="str">
        <x:v>us-east-1</x:v>
      </x:c>
      <x:c r="E5" s="13" t="str">
        <x:v>p5.48xlarge</x:v>
      </x:c>
      <x:c r="F5" s="13" t="str">
        <x:v>H100 SXM</x:v>
      </x:c>
      <x:c r="G5" s="81" t="n">
        <x:v>8</x:v>
      </x:c>
      <x:c r="H5" s="81" t="n">
        <x:v>80</x:v>
      </x:c>
      <x:c r="I5" s="76" t="n">
        <x:v>55.04</x:v>
      </x:c>
      <x:c r="J5" s="13" t="str">
        <x:v>On-demand</x:v>
      </x:c>
      <x:c r="K5" s="13" t="str">
        <x:v>Published catalog</x:v>
      </x:c>
      <x:c r="L5" s="82" t="b">
        <x:v>0</x:v>
      </x:c>
      <x:c r="M5" s="83" t="str"/>
      <x:c r="N5" s="13" t="str">
        <x:v>Linux/shared instance.</x:v>
      </x:c>
      <x:c r="O5" s="13" t="str">
        <x:v>https://pricing.us-east-1.amazonaws.com/offers/v1.0/aws/AmazonEC2/20260714202911/us-east-1/index.json</x:v>
      </x:c>
      <x:c r="P5" s="13" t="str">
        <x:v>2026-07-15</x:v>
      </x:c>
    </x:row>
    <x:row r="6" ht="40" customHeight="1">
      <x:c r="A6" s="13" t="str">
        <x:v>GPU-002</x:v>
      </x:c>
      <x:c r="B6" s="13" t="str">
        <x:v>AWS</x:v>
      </x:c>
      <x:c r="C6" s="13" t="str">
        <x:v>Hyperscaler</x:v>
      </x:c>
      <x:c r="D6" s="13" t="str">
        <x:v>us-east-1</x:v>
      </x:c>
      <x:c r="E6" s="13" t="str">
        <x:v>p5en.48xlarge</x:v>
      </x:c>
      <x:c r="F6" s="13" t="str">
        <x:v>H200 SXM</x:v>
      </x:c>
      <x:c r="G6" s="81" t="n">
        <x:v>8</x:v>
      </x:c>
      <x:c r="H6" s="81" t="n">
        <x:v>141</x:v>
      </x:c>
      <x:c r="I6" s="76" t="n">
        <x:v>63.296</x:v>
      </x:c>
      <x:c r="J6" s="13" t="str">
        <x:v>On-demand</x:v>
      </x:c>
      <x:c r="K6" s="13" t="str">
        <x:v>Published catalog</x:v>
      </x:c>
      <x:c r="L6" s="82" t="b">
        <x:v>0</x:v>
      </x:c>
      <x:c r="M6" s="83" t="str"/>
      <x:c r="N6" s="13" t="str">
        <x:v>Linux/shared instance.</x:v>
      </x:c>
      <x:c r="O6" s="13" t="str">
        <x:v>https://pricing.us-east-1.amazonaws.com/offers/v1.0/aws/AmazonEC2/20260714202911/us-east-1/index.json</x:v>
      </x:c>
      <x:c r="P6" s="13" t="str">
        <x:v>2026-07-15</x:v>
      </x:c>
    </x:row>
    <x:row r="7" ht="40" customHeight="1">
      <x:c r="A7" s="13" t="str">
        <x:v>GPU-003</x:v>
      </x:c>
      <x:c r="B7" s="13" t="str">
        <x:v>AWS</x:v>
      </x:c>
      <x:c r="C7" s="13" t="str">
        <x:v>Hyperscaler</x:v>
      </x:c>
      <x:c r="D7" s="13" t="str">
        <x:v>us-east-1</x:v>
      </x:c>
      <x:c r="E7" s="13" t="str">
        <x:v>p6-b200.48xlarge</x:v>
      </x:c>
      <x:c r="F7" s="13" t="str">
        <x:v>B200 SXM</x:v>
      </x:c>
      <x:c r="G7" s="81" t="n">
        <x:v>8</x:v>
      </x:c>
      <x:c r="H7" s="81" t="n">
        <x:v>179</x:v>
      </x:c>
      <x:c r="I7" s="76" t="n">
        <x:v>113.9328</x:v>
      </x:c>
      <x:c r="J7" s="13" t="str">
        <x:v>On-demand</x:v>
      </x:c>
      <x:c r="K7" s="13" t="str">
        <x:v>Published catalog</x:v>
      </x:c>
      <x:c r="L7" s="82" t="b">
        <x:v>0</x:v>
      </x:c>
      <x:c r="M7" s="83" t="str"/>
      <x:c r="N7" s="13" t="str">
        <x:v>Linux/shared instance.</x:v>
      </x:c>
      <x:c r="O7" s="13" t="str">
        <x:v>https://pricing.us-east-1.amazonaws.com/offers/v1.0/aws/AmazonEC2/20260714202911/us-east-1/index.json</x:v>
      </x:c>
      <x:c r="P7" s="13" t="str">
        <x:v>2026-07-15</x:v>
      </x:c>
    </x:row>
    <x:row r="8" ht="40" customHeight="1">
      <x:c r="A8" s="13" t="str">
        <x:v>GPU-004</x:v>
      </x:c>
      <x:c r="B8" s="13" t="str">
        <x:v>AWS</x:v>
      </x:c>
      <x:c r="C8" s="13" t="str">
        <x:v>Hyperscaler</x:v>
      </x:c>
      <x:c r="D8" s="13" t="str">
        <x:v>us-east-1</x:v>
      </x:c>
      <x:c r="E8" s="13" t="str">
        <x:v>p5e.48xlarge</x:v>
      </x:c>
      <x:c r="F8" s="13" t="str">
        <x:v>H200 SXM</x:v>
      </x:c>
      <x:c r="G8" s="81" t="n">
        <x:v>8</x:v>
      </x:c>
      <x:c r="H8" s="81" t="n">
        <x:v>141</x:v>
      </x:c>
      <x:c r="I8" s="76" t="n">
        <x:v>47.76</x:v>
      </x:c>
      <x:c r="J8" s="13" t="str">
        <x:v>Capacity Block</x:v>
      </x:c>
      <x:c r="K8" s="13" t="str">
        <x:v>Published—quarterly reset</x:v>
      </x:c>
      <x:c r="L8" s="82" t="b">
        <x:v>0</x:v>
      </x:c>
      <x:c r="M8" s="83" t="str">
        <x:v>2026-Q3</x:v>
      </x:c>
      <x:c r="N8" s="13" t="str">
        <x:v>Reservation fee paid up front.</x:v>
      </x:c>
      <x:c r="O8" s="13" t="str">
        <x:v>https://aws.amazon.com/ec2/capacityblocks/pricing/</x:v>
      </x:c>
      <x:c r="P8" s="13" t="str">
        <x:v>2026-07-15</x:v>
      </x:c>
    </x:row>
    <x:row r="9" ht="40" customHeight="1">
      <x:c r="A9" s="13" t="str">
        <x:v>GPU-005</x:v>
      </x:c>
      <x:c r="B9" s="13" t="str">
        <x:v>Azure</x:v>
      </x:c>
      <x:c r="C9" s="13" t="str">
        <x:v>Hyperscaler</x:v>
      </x:c>
      <x:c r="D9" s="13" t="str">
        <x:v>eastus2</x:v>
      </x:c>
      <x:c r="E9" s="13" t="str">
        <x:v>ND96isr_H100_v5</x:v>
      </x:c>
      <x:c r="F9" s="13" t="str">
        <x:v>H100 SXM</x:v>
      </x:c>
      <x:c r="G9" s="81" t="n">
        <x:v>8</x:v>
      </x:c>
      <x:c r="H9" s="81" t="n">
        <x:v>80</x:v>
      </x:c>
      <x:c r="I9" s="76" t="n">
        <x:v>98.32</x:v>
      </x:c>
      <x:c r="J9" s="13" t="str">
        <x:v>On-demand</x:v>
      </x:c>
      <x:c r="K9" s="13" t="str">
        <x:v>Published API</x:v>
      </x:c>
      <x:c r="L9" s="82" t="b">
        <x:v>0</x:v>
      </x:c>
      <x:c r="M9" s="83" t="str"/>
      <x:c r="N9" s="13" t="str">
        <x:v>Official Retail Prices API.</x:v>
      </x:c>
      <x:c r="O9" s="13" t="str">
        <x:v>https://prices.azure.com/api/retail/prices</x:v>
      </x:c>
      <x:c r="P9" s="13" t="str">
        <x:v>2026-07-15</x:v>
      </x:c>
    </x:row>
    <x:row r="10" ht="40" customHeight="1">
      <x:c r="A10" s="13" t="str">
        <x:v>GPU-006</x:v>
      </x:c>
      <x:c r="B10" s="13" t="str">
        <x:v>Azure</x:v>
      </x:c>
      <x:c r="C10" s="13" t="str">
        <x:v>Hyperscaler</x:v>
      </x:c>
      <x:c r="D10" s="13" t="str">
        <x:v>eastus2</x:v>
      </x:c>
      <x:c r="E10" s="13" t="str">
        <x:v>ND96isr_H200_v5</x:v>
      </x:c>
      <x:c r="F10" s="13" t="str">
        <x:v>H200 SXM</x:v>
      </x:c>
      <x:c r="G10" s="81" t="n">
        <x:v>8</x:v>
      </x:c>
      <x:c r="H10" s="81" t="n">
        <x:v>141</x:v>
      </x:c>
      <x:c r="I10" s="76" t="n">
        <x:v>84.8</x:v>
      </x:c>
      <x:c r="J10" s="13" t="str">
        <x:v>On-demand</x:v>
      </x:c>
      <x:c r="K10" s="13" t="str">
        <x:v>Published API</x:v>
      </x:c>
      <x:c r="L10" s="82" t="b">
        <x:v>0</x:v>
      </x:c>
      <x:c r="M10" s="83" t="str"/>
      <x:c r="N10" s="13" t="str">
        <x:v>Official Retail Prices API.</x:v>
      </x:c>
      <x:c r="O10" s="13" t="str">
        <x:v>https://prices.azure.com/api/retail/prices</x:v>
      </x:c>
      <x:c r="P10" s="13" t="str">
        <x:v>2026-07-15</x:v>
      </x:c>
    </x:row>
    <x:row r="11" ht="40" customHeight="1">
      <x:c r="A11" s="13" t="str">
        <x:v>GPU-007</x:v>
      </x:c>
      <x:c r="B11" s="13" t="str">
        <x:v>Azure</x:v>
      </x:c>
      <x:c r="C11" s="13" t="str">
        <x:v>Hyperscaler</x:v>
      </x:c>
      <x:c r="D11" s="13" t="str">
        <x:v>eastus2</x:v>
      </x:c>
      <x:c r="E11" s="13" t="str">
        <x:v>ND96isr_H200_v5</x:v>
      </x:c>
      <x:c r="F11" s="13" t="str">
        <x:v>H200 SXM</x:v>
      </x:c>
      <x:c r="G11" s="81" t="n">
        <x:v>8</x:v>
      </x:c>
      <x:c r="H11" s="81" t="n">
        <x:v>141</x:v>
      </x:c>
      <x:c r="I11" s="76" t="n">
        <x:v>37.312</x:v>
      </x:c>
      <x:c r="J11" s="13" t="str">
        <x:v>3-year reservation</x:v>
      </x:c>
      <x:c r="K11" s="13" t="str">
        <x:v>Derived from published total</x:v>
      </x:c>
      <x:c r="L11" s="82" t="b">
        <x:v>0</x:v>
      </x:c>
      <x:c r="M11" s="83" t="str"/>
      <x:c r="N11" s="13" t="str">
        <x:v>Hourly equivalent = published upfront total / 26,280 hours.</x:v>
      </x:c>
      <x:c r="O11" s="13" t="str">
        <x:v>https://prices.azure.com/api/retail/prices</x:v>
      </x:c>
      <x:c r="P11" s="13" t="str">
        <x:v>2026-07-15</x:v>
      </x:c>
    </x:row>
    <x:row r="12" ht="40" customHeight="1">
      <x:c r="A12" s="13" t="str">
        <x:v>GPU-008</x:v>
      </x:c>
      <x:c r="B12" s="13" t="str">
        <x:v>GCP</x:v>
      </x:c>
      <x:c r="C12" s="13" t="str">
        <x:v>Hyperscaler</x:v>
      </x:c>
      <x:c r="D12" s="13" t="str">
        <x:v>us-central1</x:v>
      </x:c>
      <x:c r="E12" s="13" t="str">
        <x:v>a3-highgpu-8g</x:v>
      </x:c>
      <x:c r="F12" s="13" t="str">
        <x:v>H100 SXM</x:v>
      </x:c>
      <x:c r="G12" s="81" t="n">
        <x:v>8</x:v>
      </x:c>
      <x:c r="H12" s="81" t="n">
        <x:v>80</x:v>
      </x:c>
      <x:c r="I12" s="76" t="n">
        <x:v>88.490000119</x:v>
      </x:c>
      <x:c r="J12" s="13" t="str">
        <x:v>On-demand</x:v>
      </x:c>
      <x:c r="K12" s="13" t="str">
        <x:v>Published</x:v>
      </x:c>
      <x:c r="L12" s="82" t="b">
        <x:v>0</x:v>
      </x:c>
      <x:c r="M12" s="83" t="str"/>
      <x:c r="N12" s="13" t="str">
        <x:v>Full machine includes GPU, CPU, RAM, SSD.</x:v>
      </x:c>
      <x:c r="O12" s="13" t="str">
        <x:v>https://cloud.google.com/products/compute/pricing/accelerator-optimized</x:v>
      </x:c>
      <x:c r="P12" s="13" t="str">
        <x:v>2026-07-15</x:v>
      </x:c>
    </x:row>
    <x:row r="13" ht="40" customHeight="1">
      <x:c r="A13" s="13" t="str">
        <x:v>GPU-009</x:v>
      </x:c>
      <x:c r="B13" s="13" t="str">
        <x:v>GCP</x:v>
      </x:c>
      <x:c r="C13" s="13" t="str">
        <x:v>Hyperscaler</x:v>
      </x:c>
      <x:c r="D13" s="13" t="str">
        <x:v>us-central1</x:v>
      </x:c>
      <x:c r="E13" s="13" t="str">
        <x:v>a3-ultragpu-8g</x:v>
      </x:c>
      <x:c r="F13" s="13" t="str">
        <x:v>H200 SXM</x:v>
      </x:c>
      <x:c r="G13" s="81" t="n">
        <x:v>8</x:v>
      </x:c>
      <x:c r="H13" s="81" t="n">
        <x:v>141</x:v>
      </x:c>
      <x:c r="I13" s="76" t="n">
        <x:v>84.806908493</x:v>
      </x:c>
      <x:c r="J13" s="13" t="str">
        <x:v>On-demand</x:v>
      </x:c>
      <x:c r="K13" s="13" t="str">
        <x:v>Published</x:v>
      </x:c>
      <x:c r="L13" s="82" t="b">
        <x:v>0</x:v>
      </x:c>
      <x:c r="M13" s="83" t="str"/>
      <x:c r="N13" s="13" t="str">
        <x:v>Full machine includes GPU, CPU, RAM, SSD.</x:v>
      </x:c>
      <x:c r="O13" s="13" t="str">
        <x:v>https://cloud.google.com/products/compute/pricing/accelerator-optimized</x:v>
      </x:c>
      <x:c r="P13" s="13" t="str">
        <x:v>2026-07-15</x:v>
      </x:c>
    </x:row>
    <x:row r="14" ht="40" customHeight="1">
      <x:c r="A14" s="13" t="str">
        <x:v>GPU-010</x:v>
      </x:c>
      <x:c r="B14" s="13" t="str">
        <x:v>GCP</x:v>
      </x:c>
      <x:c r="C14" s="13" t="str">
        <x:v>Hyperscaler</x:v>
      </x:c>
      <x:c r="D14" s="13" t="str">
        <x:v>us-central1</x:v>
      </x:c>
      <x:c r="E14" s="13" t="str">
        <x:v>a4-highgpu-8g</x:v>
      </x:c>
      <x:c r="F14" s="13" t="str">
        <x:v>B200 SXM</x:v>
      </x:c>
      <x:c r="G14" s="81" t="n">
        <x:v>8</x:v>
      </x:c>
      <x:c r="H14" s="81" t="n">
        <x:v>180</x:v>
      </x:c>
      <x:c r="I14" s="76" t="n">
        <x:v>64.44</x:v>
      </x:c>
      <x:c r="J14" s="13" t="str">
        <x:v>DWS Flex-start</x:v>
      </x:c>
      <x:c r="K14" s="13" t="str">
        <x:v>Published—floating</x:v>
      </x:c>
      <x:c r="L14" s="82" t="b">
        <x:v>1</x:v>
      </x:c>
      <x:c r="M14" s="83" t="str">
        <x:v>2026-07-15</x:v>
      </x:c>
      <x:c r="N14" s="13" t="str">
        <x:v>On-demand unavailable; flex-start is interruptible/deferred.</x:v>
      </x:c>
      <x:c r="O14" s="13" t="str">
        <x:v>https://cloud.google.com/products/compute/pricing/accelerator-optimized</x:v>
      </x:c>
      <x:c r="P14" s="13" t="str">
        <x:v>2026-07-15</x:v>
      </x:c>
    </x:row>
    <x:row r="15" ht="40" customHeight="1">
      <x:c r="A15" s="13" t="str">
        <x:v>GPU-011</x:v>
      </x:c>
      <x:c r="B15" s="13" t="str">
        <x:v>CoreWeave</x:v>
      </x:c>
      <x:c r="C15" s="13" t="str">
        <x:v>Neocloud</x:v>
      </x:c>
      <x:c r="D15" s="13" t="str">
        <x:v>North America</x:v>
      </x:c>
      <x:c r="E15" s="13" t="str">
        <x:v>HGX H100</x:v>
      </x:c>
      <x:c r="F15" s="13" t="str">
        <x:v>H100 SXM</x:v>
      </x:c>
      <x:c r="G15" s="81" t="n">
        <x:v>8</x:v>
      </x:c>
      <x:c r="H15" s="81" t="n">
        <x:v>80</x:v>
      </x:c>
      <x:c r="I15" s="76" t="n">
        <x:v>49.24</x:v>
      </x:c>
      <x:c r="J15" s="13" t="str">
        <x:v>On-demand</x:v>
      </x:c>
      <x:c r="K15" s="13" t="str">
        <x:v>Published</x:v>
      </x:c>
      <x:c r="L15" s="82" t="b">
        <x:v>0</x:v>
      </x:c>
      <x:c r="M15" s="83" t="str"/>
      <x:c r="N15" s="13" t="str">
        <x:v>Whole-node price.</x:v>
      </x:c>
      <x:c r="O15" s="13" t="str">
        <x:v>https://coreweave.com/pricing</x:v>
      </x:c>
      <x:c r="P15" s="13" t="str">
        <x:v>2026-07-15</x:v>
      </x:c>
    </x:row>
    <x:row r="16" ht="40" customHeight="1">
      <x:c r="A16" s="13" t="str">
        <x:v>GPU-012</x:v>
      </x:c>
      <x:c r="B16" s="13" t="str">
        <x:v>CoreWeave</x:v>
      </x:c>
      <x:c r="C16" s="13" t="str">
        <x:v>Neocloud</x:v>
      </x:c>
      <x:c r="D16" s="13" t="str">
        <x:v>North America</x:v>
      </x:c>
      <x:c r="E16" s="13" t="str">
        <x:v>HGX H200</x:v>
      </x:c>
      <x:c r="F16" s="13" t="str">
        <x:v>H200 SXM</x:v>
      </x:c>
      <x:c r="G16" s="81" t="n">
        <x:v>8</x:v>
      </x:c>
      <x:c r="H16" s="81" t="n">
        <x:v>141</x:v>
      </x:c>
      <x:c r="I16" s="76" t="n">
        <x:v>50.44</x:v>
      </x:c>
      <x:c r="J16" s="13" t="str">
        <x:v>On-demand</x:v>
      </x:c>
      <x:c r="K16" s="13" t="str">
        <x:v>Published</x:v>
      </x:c>
      <x:c r="L16" s="82" t="b">
        <x:v>0</x:v>
      </x:c>
      <x:c r="M16" s="83" t="str"/>
      <x:c r="N16" s="13" t="str">
        <x:v>Whole-node price.</x:v>
      </x:c>
      <x:c r="O16" s="13" t="str">
        <x:v>https://coreweave.com/pricing</x:v>
      </x:c>
      <x:c r="P16" s="13" t="str">
        <x:v>2026-07-15</x:v>
      </x:c>
    </x:row>
    <x:row r="17" ht="40" customHeight="1">
      <x:c r="A17" s="13" t="str">
        <x:v>GPU-013</x:v>
      </x:c>
      <x:c r="B17" s="13" t="str">
        <x:v>CoreWeave</x:v>
      </x:c>
      <x:c r="C17" s="13" t="str">
        <x:v>Neocloud</x:v>
      </x:c>
      <x:c r="D17" s="13" t="str">
        <x:v>North America</x:v>
      </x:c>
      <x:c r="E17" s="13" t="str">
        <x:v>HGX H200</x:v>
      </x:c>
      <x:c r="F17" s="13" t="str">
        <x:v>H200 SXM</x:v>
      </x:c>
      <x:c r="G17" s="81" t="n">
        <x:v>8</x:v>
      </x:c>
      <x:c r="H17" s="81" t="n">
        <x:v>141</x:v>
      </x:c>
      <x:c r="I17" s="76" t="n">
        <x:v>20.93</x:v>
      </x:c>
      <x:c r="J17" s="13" t="str">
        <x:v>Spot</x:v>
      </x:c>
      <x:c r="K17" s="13" t="str">
        <x:v>Published—floating</x:v>
      </x:c>
      <x:c r="L17" s="82" t="b">
        <x:v>1</x:v>
      </x:c>
      <x:c r="M17" s="83" t="str">
        <x:v>2026-07-15</x:v>
      </x:c>
      <x:c r="N17" s="13" t="str">
        <x:v>Interruptible whole-node price.</x:v>
      </x:c>
      <x:c r="O17" s="13" t="str">
        <x:v>https://coreweave.com/pricing</x:v>
      </x:c>
      <x:c r="P17" s="13" t="str">
        <x:v>2026-07-15</x:v>
      </x:c>
    </x:row>
    <x:row r="18" ht="40" customHeight="1">
      <x:c r="A18" s="13" t="str">
        <x:v>GPU-014</x:v>
      </x:c>
      <x:c r="B18" s="13" t="str">
        <x:v>CoreWeave</x:v>
      </x:c>
      <x:c r="C18" s="13" t="str">
        <x:v>Neocloud</x:v>
      </x:c>
      <x:c r="D18" s="13" t="str">
        <x:v>North America</x:v>
      </x:c>
      <x:c r="E18" s="13" t="str">
        <x:v>HGX B200</x:v>
      </x:c>
      <x:c r="F18" s="13" t="str">
        <x:v>B200 SXM</x:v>
      </x:c>
      <x:c r="G18" s="81" t="n">
        <x:v>8</x:v>
      </x:c>
      <x:c r="H18" s="81" t="n">
        <x:v>180</x:v>
      </x:c>
      <x:c r="I18" s="76" t="n">
        <x:v>68.8</x:v>
      </x:c>
      <x:c r="J18" s="13" t="str">
        <x:v>On-demand</x:v>
      </x:c>
      <x:c r="K18" s="13" t="str">
        <x:v>Published</x:v>
      </x:c>
      <x:c r="L18" s="82" t="b">
        <x:v>0</x:v>
      </x:c>
      <x:c r="M18" s="83" t="str"/>
      <x:c r="N18" s="13" t="str">
        <x:v>Whole-node price.</x:v>
      </x:c>
      <x:c r="O18" s="13" t="str">
        <x:v>https://coreweave.com/pricing</x:v>
      </x:c>
      <x:c r="P18" s="13" t="str">
        <x:v>2026-07-15</x:v>
      </x:c>
    </x:row>
    <x:row r="19" ht="40" customHeight="1">
      <x:c r="A19" s="13" t="str">
        <x:v>GPU-015</x:v>
      </x:c>
      <x:c r="B19" s="13" t="str">
        <x:v>Lambda</x:v>
      </x:c>
      <x:c r="C19" s="13" t="str">
        <x:v>Neocloud</x:v>
      </x:c>
      <x:c r="D19" s="13" t="str">
        <x:v>Multi-region</x:v>
      </x:c>
      <x:c r="E19" s="13" t="str">
        <x:v>8-GPU H100 SXM</x:v>
      </x:c>
      <x:c r="F19" s="13" t="str">
        <x:v>H100 SXM</x:v>
      </x:c>
      <x:c r="G19" s="81" t="n">
        <x:v>8</x:v>
      </x:c>
      <x:c r="H19" s="81" t="n">
        <x:v>80</x:v>
      </x:c>
      <x:c r="I19" s="76" t="n">
        <x:v>31.92</x:v>
      </x:c>
      <x:c r="J19" s="13" t="str">
        <x:v>On-demand</x:v>
      </x:c>
      <x:c r="K19" s="13" t="str">
        <x:v>Calculated from published</x:v>
      </x:c>
      <x:c r="L19" s="82" t="b">
        <x:v>0</x:v>
      </x:c>
      <x:c r="M19" s="83" t="str"/>
      <x:c r="N19" s="13" t="str">
        <x:v>$3.99/GPU-hour; sales tax extra.</x:v>
      </x:c>
      <x:c r="O19" s="13" t="str">
        <x:v>https://lambda.ai/instances</x:v>
      </x:c>
      <x:c r="P19" s="13" t="str">
        <x:v>2026-07-15</x:v>
      </x:c>
    </x:row>
    <x:row r="20" ht="40" customHeight="1">
      <x:c r="A20" s="13" t="str">
        <x:v>GPU-016</x:v>
      </x:c>
      <x:c r="B20" s="13" t="str">
        <x:v>Lambda</x:v>
      </x:c>
      <x:c r="C20" s="13" t="str">
        <x:v>Neocloud</x:v>
      </x:c>
      <x:c r="D20" s="13" t="str">
        <x:v>Multi-region</x:v>
      </x:c>
      <x:c r="E20" s="13" t="str">
        <x:v>8-GPU B200</x:v>
      </x:c>
      <x:c r="F20" s="13" t="str">
        <x:v>B200 SXM</x:v>
      </x:c>
      <x:c r="G20" s="81" t="n">
        <x:v>8</x:v>
      </x:c>
      <x:c r="H20" s="81" t="n">
        <x:v>180</x:v>
      </x:c>
      <x:c r="I20" s="76" t="n">
        <x:v>53.52</x:v>
      </x:c>
      <x:c r="J20" s="13" t="str">
        <x:v>On-demand</x:v>
      </x:c>
      <x:c r="K20" s="13" t="str">
        <x:v>Calculated from published</x:v>
      </x:c>
      <x:c r="L20" s="82" t="b">
        <x:v>0</x:v>
      </x:c>
      <x:c r="M20" s="83" t="str"/>
      <x:c r="N20" s="13" t="str">
        <x:v>$6.69/GPU-hour; sales tax extra.</x:v>
      </x:c>
      <x:c r="O20" s="13" t="str">
        <x:v>https://lambda.ai/instances</x:v>
      </x:c>
      <x:c r="P20" s="13" t="str">
        <x:v>2026-07-15</x:v>
      </x:c>
    </x:row>
    <x:row r="21" ht="40" customHeight="1">
      <x:c r="A21" s="13" t="str">
        <x:v>GPU-017</x:v>
      </x:c>
      <x:c r="B21" s="13" t="str">
        <x:v>Crusoe</x:v>
      </x:c>
      <x:c r="C21" s="13" t="str">
        <x:v>Neocloud</x:v>
      </x:c>
      <x:c r="D21" s="13" t="str">
        <x:v>Unspecified</x:v>
      </x:c>
      <x:c r="E21" s="13" t="str">
        <x:v>8-GPU H100 HGX</x:v>
      </x:c>
      <x:c r="F21" s="13" t="str">
        <x:v>H100 SXM</x:v>
      </x:c>
      <x:c r="G21" s="81" t="n">
        <x:v>8</x:v>
      </x:c>
      <x:c r="H21" s="81" t="n">
        <x:v>80</x:v>
      </x:c>
      <x:c r="I21" s="76" t="n">
        <x:v>31.2</x:v>
      </x:c>
      <x:c r="J21" s="13" t="str">
        <x:v>On-demand</x:v>
      </x:c>
      <x:c r="K21" s="13" t="str">
        <x:v>Calculated from published</x:v>
      </x:c>
      <x:c r="L21" s="82" t="b">
        <x:v>0</x:v>
      </x:c>
      <x:c r="M21" s="83" t="str"/>
      <x:c r="N21" s="13" t="str">
        <x:v>$3.90/GPU-hour; no ingress/egress charge.</x:v>
      </x:c>
      <x:c r="O21" s="13" t="str">
        <x:v>https://www.crusoe.ai/cloud/pricing</x:v>
      </x:c>
      <x:c r="P21" s="13" t="str">
        <x:v>2026-07-15</x:v>
      </x:c>
    </x:row>
    <x:row r="22" ht="40" customHeight="1">
      <x:c r="A22" s="13" t="str">
        <x:v>GPU-018</x:v>
      </x:c>
      <x:c r="B22" s="13" t="str">
        <x:v>Crusoe</x:v>
      </x:c>
      <x:c r="C22" s="13" t="str">
        <x:v>Neocloud</x:v>
      </x:c>
      <x:c r="D22" s="13" t="str">
        <x:v>Unspecified</x:v>
      </x:c>
      <x:c r="E22" s="13" t="str">
        <x:v>8-GPU H200 HGX</x:v>
      </x:c>
      <x:c r="F22" s="13" t="str">
        <x:v>H200 SXM</x:v>
      </x:c>
      <x:c r="G22" s="81" t="n">
        <x:v>8</x:v>
      </x:c>
      <x:c r="H22" s="81" t="n">
        <x:v>141</x:v>
      </x:c>
      <x:c r="I22" s="76" t="n">
        <x:v>34.32</x:v>
      </x:c>
      <x:c r="J22" s="13" t="str">
        <x:v>On-demand</x:v>
      </x:c>
      <x:c r="K22" s="13" t="str">
        <x:v>Calculated from published</x:v>
      </x:c>
      <x:c r="L22" s="82" t="b">
        <x:v>0</x:v>
      </x:c>
      <x:c r="M22" s="83" t="str"/>
      <x:c r="N22" s="13" t="str">
        <x:v>$4.29/GPU-hour; no ingress/egress charge.</x:v>
      </x:c>
      <x:c r="O22" s="13" t="str">
        <x:v>https://www.crusoe.ai/cloud/pricing</x:v>
      </x:c>
      <x:c r="P22" s="13" t="str">
        <x:v>2026-07-15</x:v>
      </x:c>
    </x:row>
    <x:row r="23" ht="40" customHeight="1">
      <x:c r="A23" s="13" t="str">
        <x:v>GPU-019</x:v>
      </x:c>
      <x:c r="B23" s="13" t="str">
        <x:v>Nebius</x:v>
      </x:c>
      <x:c r="C23" s="13" t="str">
        <x:v>Neocloud</x:v>
      </x:c>
      <x:c r="D23" s="13" t="str">
        <x:v>us-central1</x:v>
      </x:c>
      <x:c r="E23" s="13" t="str">
        <x:v>8-GPU H200 NVLink</x:v>
      </x:c>
      <x:c r="F23" s="13" t="str">
        <x:v>H200 SXM</x:v>
      </x:c>
      <x:c r="G23" s="81" t="n">
        <x:v>8</x:v>
      </x:c>
      <x:c r="H23" s="81" t="n">
        <x:v>141</x:v>
      </x:c>
      <x:c r="I23" s="76" t="n">
        <x:v>36</x:v>
      </x:c>
      <x:c r="J23" s="13" t="str">
        <x:v>On-demand</x:v>
      </x:c>
      <x:c r="K23" s="13" t="str">
        <x:v>Calculated from published</x:v>
      </x:c>
      <x:c r="L23" s="82" t="b">
        <x:v>0</x:v>
      </x:c>
      <x:c r="M23" s="83" t="str"/>
      <x:c r="N23" s="13" t="str">
        <x:v>$4.50/GPU-hour, effective 2026-06-01.</x:v>
      </x:c>
      <x:c r="O23" s="13" t="str">
        <x:v>https://docs.nebius.com/compute/resources/pricing</x:v>
      </x:c>
      <x:c r="P23" s="13" t="str">
        <x:v>2026-07-15</x:v>
      </x:c>
    </x:row>
    <x:row r="24" ht="40" customHeight="1">
      <x:c r="A24" s="13" t="str">
        <x:v>GPU-020</x:v>
      </x:c>
      <x:c r="B24" s="13" t="str">
        <x:v>Runpod</x:v>
      </x:c>
      <x:c r="C24" s="13" t="str">
        <x:v>Neocloud / marketplace</x:v>
      </x:c>
      <x:c r="D24" s="13" t="str">
        <x:v>30+ regions</x:v>
      </x:c>
      <x:c r="E24" s="13" t="str">
        <x:v>8-GPU H200 Pod</x:v>
      </x:c>
      <x:c r="F24" s="13" t="str">
        <x:v>H200</x:v>
      </x:c>
      <x:c r="G24" s="81" t="n">
        <x:v>8</x:v>
      </x:c>
      <x:c r="H24" s="81" t="n">
        <x:v>141</x:v>
      </x:c>
      <x:c r="I24" s="76" t="n">
        <x:v>35.12</x:v>
      </x:c>
      <x:c r="J24" s="13" t="str">
        <x:v>On-demand</x:v>
      </x:c>
      <x:c r="K24" s="13" t="str">
        <x:v>Calculated from published starting price</x:v>
      </x:c>
      <x:c r="L24" s="82" t="b">
        <x:v>0</x:v>
      </x:c>
      <x:c r="M24" s="83" t="str">
        <x:v>2026-07-15</x:v>
      </x:c>
      <x:c r="N24" s="13" t="str">
        <x:v>$4.39/GPU-hour; capacity and location vary.</x:v>
      </x:c>
      <x:c r="O24" s="13" t="str">
        <x:v>https://www.runpod.io/pricing</x:v>
      </x:c>
      <x:c r="P24" s="13" t="str">
        <x:v>2026-07-15</x:v>
      </x:c>
    </x:row>
    <x:row r="25" ht="40" customHeight="1">
      <x:c r="A25" s="13" t="str">
        <x:v>GPU-021</x:v>
      </x:c>
      <x:c r="B25" s="13" t="str">
        <x:v>Runpod</x:v>
      </x:c>
      <x:c r="C25" s="13" t="str">
        <x:v>Neocloud / marketplace</x:v>
      </x:c>
      <x:c r="D25" s="13" t="str">
        <x:v>30+ regions</x:v>
      </x:c>
      <x:c r="E25" s="13" t="str">
        <x:v>8-GPU H100 SXM Pod</x:v>
      </x:c>
      <x:c r="F25" s="13" t="str">
        <x:v>H100 SXM</x:v>
      </x:c>
      <x:c r="G25" s="81" t="n">
        <x:v>8</x:v>
      </x:c>
      <x:c r="H25" s="81" t="n">
        <x:v>80</x:v>
      </x:c>
      <x:c r="I25" s="76" t="n">
        <x:v>23.92</x:v>
      </x:c>
      <x:c r="J25" s="13" t="str">
        <x:v>On-demand</x:v>
      </x:c>
      <x:c r="K25" s="13" t="str">
        <x:v>Calculated from published starting price</x:v>
      </x:c>
      <x:c r="L25" s="82" t="b">
        <x:v>0</x:v>
      </x:c>
      <x:c r="M25" s="83" t="str">
        <x:v>2026-07-15</x:v>
      </x:c>
      <x:c r="N25" s="13" t="str">
        <x:v>$2.99/GPU-hour; capacity and location vary.</x:v>
      </x:c>
      <x:c r="O25" s="13" t="str">
        <x:v>https://www.runpod.io/pricing</x:v>
      </x:c>
      <x:c r="P25" s="13" t="str">
        <x:v>2026-07-15</x:v>
      </x:c>
    </x:row>
    <x:row r="26" ht="40" customHeight="1">
      <x:c r="A26" s="13" t="str">
        <x:v>GPU-022</x:v>
      </x:c>
      <x:c r="B26" s="13" t="str">
        <x:v>Runpod</x:v>
      </x:c>
      <x:c r="C26" s="13" t="str">
        <x:v>Neocloud / marketplace</x:v>
      </x:c>
      <x:c r="D26" s="13" t="str">
        <x:v>30+ regions</x:v>
      </x:c>
      <x:c r="E26" s="13" t="str">
        <x:v>RTX PRO 6000 Pod</x:v>
      </x:c>
      <x:c r="F26" s="13" t="str">
        <x:v>RTX PRO 6000</x:v>
      </x:c>
      <x:c r="G26" s="81" t="n">
        <x:v>1</x:v>
      </x:c>
      <x:c r="H26" s="81" t="n">
        <x:v>96</x:v>
      </x:c>
      <x:c r="I26" s="76" t="n">
        <x:v>1.99</x:v>
      </x:c>
      <x:c r="J26" s="13" t="str">
        <x:v>On-demand</x:v>
      </x:c>
      <x:c r="K26" s="13" t="str">
        <x:v>Published starting price</x:v>
      </x:c>
      <x:c r="L26" s="82" t="b">
        <x:v>0</x:v>
      </x:c>
      <x:c r="M26" s="83" t="str">
        <x:v>2026-07-15</x:v>
      </x:c>
      <x:c r="N26" s="13" t="str">
        <x:v>Capacity and location vary.</x:v>
      </x:c>
      <x:c r="O26" s="13" t="str">
        <x:v>https://www.runpod.io/pricing</x:v>
      </x:c>
      <x:c r="P26" s="13" t="str">
        <x:v>2026-07-15</x:v>
      </x:c>
    </x:row>
    <x:row r="27" ht="40" customHeight="1">
      <x:c r="A27" s="13" t="str">
        <x:v>GPU-023</x:v>
      </x:c>
      <x:c r="B27" s="13" t="str">
        <x:v>Fireworks AI</x:v>
      </x:c>
      <x:c r="C27" s="13" t="str">
        <x:v>Managed dedicated endpoint</x:v>
      </x:c>
      <x:c r="D27" s="13" t="str">
        <x:v>Unspecified</x:v>
      </x:c>
      <x:c r="E27" s="13" t="str">
        <x:v>H100</x:v>
      </x:c>
      <x:c r="F27" s="13" t="str">
        <x:v>H100</x:v>
      </x:c>
      <x:c r="G27" s="81" t="n">
        <x:v>1</x:v>
      </x:c>
      <x:c r="H27" s="81" t="n">
        <x:v>80</x:v>
      </x:c>
      <x:c r="I27" s="76" t="n">
        <x:v>7</x:v>
      </x:c>
      <x:c r="J27" s="13" t="str">
        <x:v>Per GPU-hour</x:v>
      </x:c>
      <x:c r="K27" s="13" t="str">
        <x:v>Published</x:v>
      </x:c>
      <x:c r="L27" s="82" t="b">
        <x:v>0</x:v>
      </x:c>
      <x:c r="M27" s="83" t="str"/>
      <x:c r="N27" s="13" t="str">
        <x:v>No startup-time charge.</x:v>
      </x:c>
      <x:c r="O27" s="13" t="str">
        <x:v>https://fireworks.ai/pricing</x:v>
      </x:c>
      <x:c r="P27" s="13" t="str">
        <x:v>2026-07-15</x:v>
      </x:c>
    </x:row>
    <x:row r="28" ht="40" customHeight="1">
      <x:c r="A28" s="13" t="str">
        <x:v>GPU-024</x:v>
      </x:c>
      <x:c r="B28" s="13" t="str">
        <x:v>Fireworks AI</x:v>
      </x:c>
      <x:c r="C28" s="13" t="str">
        <x:v>Managed dedicated endpoint</x:v>
      </x:c>
      <x:c r="D28" s="13" t="str">
        <x:v>Unspecified</x:v>
      </x:c>
      <x:c r="E28" s="13" t="str">
        <x:v>H200</x:v>
      </x:c>
      <x:c r="F28" s="13" t="str">
        <x:v>H200</x:v>
      </x:c>
      <x:c r="G28" s="81" t="n">
        <x:v>1</x:v>
      </x:c>
      <x:c r="H28" s="81" t="n">
        <x:v>141</x:v>
      </x:c>
      <x:c r="I28" s="76" t="n">
        <x:v>7</x:v>
      </x:c>
      <x:c r="J28" s="13" t="str">
        <x:v>Per GPU-hour</x:v>
      </x:c>
      <x:c r="K28" s="13" t="str">
        <x:v>Published</x:v>
      </x:c>
      <x:c r="L28" s="82" t="b">
        <x:v>0</x:v>
      </x:c>
      <x:c r="M28" s="83" t="str"/>
      <x:c r="N28" s="13" t="str">
        <x:v>No startup-time charge.</x:v>
      </x:c>
      <x:c r="O28" s="13" t="str">
        <x:v>https://fireworks.ai/pricing</x:v>
      </x:c>
      <x:c r="P28" s="13" t="str">
        <x:v>2026-07-15</x:v>
      </x:c>
    </x:row>
    <x:row r="29" ht="40" customHeight="1">
      <x:c r="A29" s="13" t="str">
        <x:v>GPU-025</x:v>
      </x:c>
      <x:c r="B29" s="13" t="str">
        <x:v>Fireworks AI</x:v>
      </x:c>
      <x:c r="C29" s="13" t="str">
        <x:v>Managed dedicated endpoint</x:v>
      </x:c>
      <x:c r="D29" s="13" t="str">
        <x:v>Unspecified</x:v>
      </x:c>
      <x:c r="E29" s="13" t="str">
        <x:v>B200</x:v>
      </x:c>
      <x:c r="F29" s="13" t="str">
        <x:v>B200</x:v>
      </x:c>
      <x:c r="G29" s="81" t="n">
        <x:v>1</x:v>
      </x:c>
      <x:c r="H29" s="81" t="n">
        <x:v>180</x:v>
      </x:c>
      <x:c r="I29" s="76" t="n">
        <x:v>10</x:v>
      </x:c>
      <x:c r="J29" s="13" t="str">
        <x:v>Per GPU-hour</x:v>
      </x:c>
      <x:c r="K29" s="13" t="str">
        <x:v>Published</x:v>
      </x:c>
      <x:c r="L29" s="82" t="b">
        <x:v>0</x:v>
      </x:c>
      <x:c r="M29" s="83" t="str"/>
      <x:c r="N29" s="13" t="str">
        <x:v>No startup-time charge.</x:v>
      </x:c>
      <x:c r="O29" s="13" t="str">
        <x:v>https://fireworks.ai/pricing</x:v>
      </x:c>
      <x:c r="P29" s="13" t="str">
        <x:v>2026-07-15</x:v>
      </x:c>
    </x:row>
    <x:row r="30" ht="40" customHeight="1">
      <x:c r="A30" s="13" t="str">
        <x:v>GPU-026</x:v>
      </x:c>
      <x:c r="B30" s="13" t="str">
        <x:v>Akash</x:v>
      </x:c>
      <x:c r="C30" s="13" t="str">
        <x:v>DePIN marketplace</x:v>
      </x:c>
      <x:c r="D30" s="13" t="str">
        <x:v>Provider-dependent</x:v>
      </x:c>
      <x:c r="E30" s="13" t="str">
        <x:v>H100 SXM5 median</x:v>
      </x:c>
      <x:c r="F30" s="13" t="str">
        <x:v>H100 SXM</x:v>
      </x:c>
      <x:c r="G30" s="81" t="n">
        <x:v>1</x:v>
      </x:c>
      <x:c r="H30" s="81" t="n">
        <x:v>80</x:v>
      </x:c>
      <x:c r="I30" s="76" t="n">
        <x:v>2.56</x:v>
      </x:c>
      <x:c r="J30" s="13" t="str">
        <x:v>Per-block lease</x:v>
      </x:c>
      <x:c r="K30" s="13" t="str">
        <x:v>Live market quote</x:v>
      </x:c>
      <x:c r="L30" s="82" t="b">
        <x:v>0</x:v>
      </x:c>
      <x:c r="M30" s="83" t="n">
        <x:v>46218.36251157407</x:v>
      </x:c>
      <x:c r="N30" s="13" t="str">
        <x:v>19 available of 63; median quote; settles in USD-pegged ACT.</x:v>
      </x:c>
      <x:c r="O30" s="13" t="str">
        <x:v>https://console-api.akash.network/v1/gpu-prices</x:v>
      </x:c>
      <x:c r="P30" s="13" t="str">
        <x:v>2026-07-15</x:v>
      </x:c>
    </x:row>
    <x:row r="31" ht="40" customHeight="1">
      <x:c r="A31" s="13" t="str">
        <x:v>GPU-027</x:v>
      </x:c>
      <x:c r="B31" s="13" t="str">
        <x:v>Akash</x:v>
      </x:c>
      <x:c r="C31" s="13" t="str">
        <x:v>DePIN marketplace</x:v>
      </x:c>
      <x:c r="D31" s="13" t="str">
        <x:v>Provider-dependent</x:v>
      </x:c>
      <x:c r="E31" s="13" t="str">
        <x:v>H200 SXM5</x:v>
      </x:c>
      <x:c r="F31" s="13" t="str">
        <x:v>H200 SXM</x:v>
      </x:c>
      <x:c r="G31" s="81" t="n">
        <x:v>1</x:v>
      </x:c>
      <x:c r="H31" s="81" t="n">
        <x:v>141</x:v>
      </x:c>
      <x:c r="I31" s="76" t="n">
        <x:v>4.49</x:v>
      </x:c>
      <x:c r="J31" s="13" t="str">
        <x:v>Per-block lease</x:v>
      </x:c>
      <x:c r="K31" s="13" t="str">
        <x:v>Live market quote</x:v>
      </x:c>
      <x:c r="L31" s="82" t="b">
        <x:v>0</x:v>
      </x:c>
      <x:c r="M31" s="83" t="n">
        <x:v>46218.36251157407</x:v>
      </x:c>
      <x:c r="N31" s="13" t="str">
        <x:v>12 available of 40; direct USD quote.</x:v>
      </x:c>
      <x:c r="O31" s="13" t="str">
        <x:v>https://console-api.akash.network/v1/gpu-prices</x:v>
      </x:c>
      <x:c r="P31" s="13" t="str">
        <x:v>2026-07-15</x:v>
      </x:c>
    </x:row>
    <x:row r="32" ht="40" customHeight="1">
      <x:c r="A32" s="13" t="str">
        <x:v>GPU-028</x:v>
      </x:c>
      <x:c r="B32" s="13" t="str">
        <x:v>Akash</x:v>
      </x:c>
      <x:c r="C32" s="13" t="str">
        <x:v>DePIN marketplace</x:v>
      </x:c>
      <x:c r="D32" s="13" t="str">
        <x:v>Provider-dependent</x:v>
      </x:c>
      <x:c r="E32" s="13" t="str">
        <x:v>RTX 4090 median</x:v>
      </x:c>
      <x:c r="F32" s="13" t="str">
        <x:v>RTX 4090</x:v>
      </x:c>
      <x:c r="G32" s="81" t="n">
        <x:v>1</x:v>
      </x:c>
      <x:c r="H32" s="81" t="n">
        <x:v>24</x:v>
      </x:c>
      <x:c r="I32" s="76" t="n">
        <x:v>0.38</x:v>
      </x:c>
      <x:c r="J32" s="13" t="str">
        <x:v>Per-block lease</x:v>
      </x:c>
      <x:c r="K32" s="13" t="str">
        <x:v>Live market quote</x:v>
      </x:c>
      <x:c r="L32" s="82" t="b">
        <x:v>0</x:v>
      </x:c>
      <x:c r="M32" s="83" t="n">
        <x:v>46218.36251157407</x:v>
      </x:c>
      <x:c r="N32" s="13" t="str">
        <x:v>4 available of 6; median quote.</x:v>
      </x:c>
      <x:c r="O32" s="13" t="str">
        <x:v>https://console-api.akash.network/v1/gpu-prices</x:v>
      </x:c>
      <x:c r="P32" s="13" t="str">
        <x:v>2026-07-15</x:v>
      </x:c>
    </x:row>
    <x:row r="33" ht="40" customHeight="1">
      <x:c r="A33" s="13" t="str">
        <x:v>GPU-029</x:v>
      </x:c>
      <x:c r="B33" s="13" t="str">
        <x:v>io.net</x:v>
      </x:c>
      <x:c r="C33" s="13" t="str">
        <x:v>DePIN / distributed</x:v>
      </x:c>
      <x:c r="D33" s="13" t="str">
        <x:v>Global</x:v>
      </x:c>
      <x:c r="E33" s="13" t="str">
        <x:v>H100 SXM</x:v>
      </x:c>
      <x:c r="F33" s="13" t="str">
        <x:v>H100 SXM</x:v>
      </x:c>
      <x:c r="G33" s="81" t="n">
        <x:v>1</x:v>
      </x:c>
      <x:c r="H33" s="81" t="n">
        <x:v>80</x:v>
      </x:c>
      <x:c r="I33" s="76" t="n">
        <x:v>2.2</x:v>
      </x:c>
      <x:c r="J33" s="13" t="str">
        <x:v>Pay per second</x:v>
      </x:c>
      <x:c r="K33" s="13" t="str">
        <x:v>Published snapshot</x:v>
      </x:c>
      <x:c r="L33" s="82" t="b">
        <x:v>0</x:v>
      </x:c>
      <x:c r="M33" s="83" t="str">
        <x:v>2026-04</x:v>
      </x:c>
      <x:c r="N33" s="13" t="str">
        <x:v>Console availability may differ; optional token-payment discount excluded.</x:v>
      </x:c>
      <x:c r="O33" s="13" t="str">
        <x:v>https://io.net/p/faq-how-much-does-it-cost-to-rent-a-gpu-in-the-cloud</x:v>
      </x:c>
      <x:c r="P33" s="13" t="str">
        <x:v>2026-07-15</x:v>
      </x:c>
    </x:row>
    <x:row r="34" ht="40" customHeight="1">
      <x:c r="A34" s="13" t="str">
        <x:v>GPU-030</x:v>
      </x:c>
      <x:c r="B34" s="13" t="str">
        <x:v>io.net</x:v>
      </x:c>
      <x:c r="C34" s="13" t="str">
        <x:v>DePIN / distributed</x:v>
      </x:c>
      <x:c r="D34" s="13" t="str">
        <x:v>Global</x:v>
      </x:c>
      <x:c r="E34" s="13" t="str">
        <x:v>H100 PCIe</x:v>
      </x:c>
      <x:c r="F34" s="13" t="str">
        <x:v>H100 PCIe</x:v>
      </x:c>
      <x:c r="G34" s="81" t="n">
        <x:v>1</x:v>
      </x:c>
      <x:c r="H34" s="81" t="n">
        <x:v>80</x:v>
      </x:c>
      <x:c r="I34" s="76" t="n">
        <x:v>1.49</x:v>
      </x:c>
      <x:c r="J34" s="13" t="str">
        <x:v>Pay per second</x:v>
      </x:c>
      <x:c r="K34" s="13" t="str">
        <x:v>Published snapshot</x:v>
      </x:c>
      <x:c r="L34" s="82" t="b">
        <x:v>0</x:v>
      </x:c>
      <x:c r="M34" s="83" t="str">
        <x:v>2026-04</x:v>
      </x:c>
      <x:c r="N34" s="13" t="str">
        <x:v>Console availability may differ.</x:v>
      </x:c>
      <x:c r="O34" s="13" t="str">
        <x:v>https://io.net/p/faq-how-much-does-it-cost-to-rent-a-gpu-in-the-cloud</x:v>
      </x:c>
      <x:c r="P34" s="13" t="str">
        <x:v>2026-07-15</x:v>
      </x:c>
    </x:row>
    <x:row r="35" ht="40" customHeight="1">
      <x:c r="A35" s="13" t="str">
        <x:v>GPU-031</x:v>
      </x:c>
      <x:c r="B35" s="13" t="str">
        <x:v>io.net</x:v>
      </x:c>
      <x:c r="C35" s="13" t="str">
        <x:v>DePIN / distributed</x:v>
      </x:c>
      <x:c r="D35" s="13" t="str">
        <x:v>Global</x:v>
      </x:c>
      <x:c r="E35" s="13" t="str">
        <x:v>L40S</x:v>
      </x:c>
      <x:c r="F35" s="13" t="str">
        <x:v>L40S</x:v>
      </x:c>
      <x:c r="G35" s="81" t="n">
        <x:v>1</x:v>
      </x:c>
      <x:c r="H35" s="81" t="n">
        <x:v>48</x:v>
      </x:c>
      <x:c r="I35" s="76" t="n">
        <x:v>0.75</x:v>
      </x:c>
      <x:c r="J35" s="13" t="str">
        <x:v>Pay per second</x:v>
      </x:c>
      <x:c r="K35" s="13" t="str">
        <x:v>Published snapshot</x:v>
      </x:c>
      <x:c r="L35" s="82" t="b">
        <x:v>0</x:v>
      </x:c>
      <x:c r="M35" s="83" t="str">
        <x:v>2026-04</x:v>
      </x:c>
      <x:c r="N35" s="13" t="str">
        <x:v>Console availability may differ.</x:v>
      </x:c>
      <x:c r="O35" s="13" t="str">
        <x:v>https://io.net/p/faq-how-much-does-it-cost-to-rent-a-gpu-in-the-cloud</x:v>
      </x:c>
      <x:c r="P35" s="13" t="str">
        <x:v>2026-07-15</x:v>
      </x:c>
    </x:row>
    <x:row r="36" ht="40" customHeight="1">
      <x:c r="A36" s="13" t="str">
        <x:v>GPU-032</x:v>
      </x:c>
      <x:c r="B36" s="13" t="str">
        <x:v>Aethir</x:v>
      </x:c>
      <x:c r="C36" s="13" t="str">
        <x:v>DePIN enterprise</x:v>
      </x:c>
      <x:c r="D36" s="13" t="str">
        <x:v>Global</x:v>
      </x:c>
      <x:c r="E36" s="13" t="str">
        <x:v>H100</x:v>
      </x:c>
      <x:c r="F36" s="13" t="str">
        <x:v>H100</x:v>
      </x:c>
      <x:c r="G36" s="81" t="n">
        <x:v>1</x:v>
      </x:c>
      <x:c r="H36" s="81" t="n">
        <x:v>80</x:v>
      </x:c>
      <x:c r="I36" s="76" t="n">
        <x:v>1.25</x:v>
      </x:c>
      <x:c r="J36" s="13" t="str">
        <x:v>Enterprise rental</x:v>
      </x:c>
      <x:c r="K36" s="13" t="str">
        <x:v>Published demonstration rate</x:v>
      </x:c>
      <x:c r="L36" s="82" t="b">
        <x:v>0</x:v>
      </x:c>
      <x:c r="M36" s="83" t="str">
        <x:v>2026-07-15</x:v>
      </x:c>
      <x:c r="N36" s="13" t="str">
        <x:v>Pricing calculator demonstration; detailed availability by quote.</x:v>
      </x:c>
      <x:c r="O36" s="13" t="str">
        <x:v>https://enterprise.aethir.com/Pricing</x:v>
      </x:c>
      <x:c r="P36" s="13" t="str">
        <x:v>2026-07-15</x:v>
      </x:c>
    </x:row>
  </x:sheetData>
  <x:mergeCells>
    <x:mergeCell ref="A1:P1"/>
    <x:mergeCell ref="A2:P2"/>
  </x:mergeCells>
  <x:conditionalFormatting sqref="K5:K36">
    <x:cfRule type="containsText" dxfId="4" priority="1" operator="containsText" text="Published"/>
    <x:cfRule type="containsText" dxfId="5" priority="2" operator="containsText" text="Live"/>
    <x:cfRule type="containsText" dxfId="6" priority="3" operator="containsText" text="Estimated"/>
    <x:cfRule type="containsText" dxfId="7" priority="4" operator="containsText" text="Derived"/>
  </x:conditionalFormatting>
  <x:pageMargins left="0.7" right="0.7" top="0.75" bottom="0.75" header="0.3" footer="0.3"/>
  <x:tableParts count="1">
    <x:tablePart xmlns:r="http://schemas.openxmlformats.org/officeDocument/2006/relationships" r:id="R689413fcba2c4f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2" hidden="0" customWidth="1"/>
    <x:col min="4" max="4" width="23" hidden="0" customWidth="1"/>
    <x:col min="5" max="5" width="18" hidden="0" customWidth="1"/>
    <x:col min="6" max="6" width="32" hidden="0" customWidth="1"/>
    <x:col min="7" max="7" width="30" hidden="0" customWidth="1"/>
    <x:col min="8" max="8" width="17" hidden="0" customWidth="1"/>
    <x:col min="9" max="9" width="10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  <x:col min="15" max="15" width="27" hidden="0" customWidth="1"/>
    <x:col min="16" max="16" width="18" hidden="0" customWidth="1"/>
    <x:col min="17" max="17" width="17" hidden="0" customWidth="1"/>
    <x:col min="18" max="18" width="15" hidden="0" customWidth="1"/>
    <x:col min="19" max="19" width="15" hidden="0" customWidth="1"/>
    <x:col min="20" max="20" width="16" hidden="0" customWidth="1"/>
    <x:col min="21" max="21" width="17" hidden="0" customWidth="1"/>
    <x:col min="22" max="22" width="15" hidden="0" customWidth="1"/>
    <x:col min="23" max="23" width="18" hidden="0" customWidth="1"/>
    <x:col min="24" max="24" width="19" hidden="0" customWidth="1"/>
    <x:col min="25" max="25" width="16" hidden="0" customWidth="1"/>
    <x:col min="26" max="26" width="17" hidden="0" customWidth="1"/>
    <x:col min="27" max="27" width="16" hidden="0" customWidth="1"/>
    <x:col min="28" max="28" width="18" hidden="0" customWidth="1"/>
    <x:col min="29" max="29" width="34" hidden="0" customWidth="1"/>
    <x:col min="30" max="30" width="68" hidden="0" customWidth="1"/>
    <x:col min="31" max="31" width="68" hidden="0" customWidth="1"/>
    <x:col min="32" max="32" width="55" hidden="0" customWidth="1"/>
  </x:cols>
  <x:sheetData>
    <x:row r="1" ht="32" customHeight="1">
      <x:c r="A1" s="3" t="str">
        <x:v>Benchmark-derived infrastructure economics</x:v>
      </x:c>
      <x:c r="B1" s="3" t="str">
        <x:v>Benchmark-derived infrastructure economics</x:v>
      </x:c>
      <x:c r="C1" s="3" t="str">
        <x:v>Benchmark-derived infrastructure economics</x:v>
      </x:c>
      <x:c r="D1" s="3" t="str">
        <x:v>Benchmark-derived infrastructure economics</x:v>
      </x:c>
      <x:c r="E1" s="3" t="str">
        <x:v>Benchmark-derived infrastructure economics</x:v>
      </x:c>
      <x:c r="F1" s="3" t="str">
        <x:v>Benchmark-derived infrastructure economics</x:v>
      </x:c>
      <x:c r="G1" s="3" t="str">
        <x:v>Benchmark-derived infrastructure economics</x:v>
      </x:c>
      <x:c r="H1" s="3" t="str">
        <x:v>Benchmark-derived infrastructure economics</x:v>
      </x:c>
      <x:c r="I1" s="3" t="str">
        <x:v>Benchmark-derived infrastructure economics</x:v>
      </x:c>
      <x:c r="J1" s="3" t="str">
        <x:v>Benchmark-derived infrastructure economics</x:v>
      </x:c>
      <x:c r="K1" s="3" t="str">
        <x:v>Benchmark-derived infrastructure economics</x:v>
      </x:c>
      <x:c r="L1" s="3" t="str">
        <x:v>Benchmark-derived infrastructure economics</x:v>
      </x:c>
      <x:c r="M1" s="3" t="str">
        <x:v>Benchmark-derived infrastructure economics</x:v>
      </x:c>
      <x:c r="N1" s="3" t="str">
        <x:v>Benchmark-derived infrastructure economics</x:v>
      </x:c>
      <x:c r="O1" s="3" t="str">
        <x:v>Benchmark-derived infrastructure economics</x:v>
      </x:c>
      <x:c r="P1" s="3" t="str">
        <x:v>Benchmark-derived infrastructure economics</x:v>
      </x:c>
      <x:c r="Q1" s="3" t="str">
        <x:v>Benchmark-derived infrastructure economics</x:v>
      </x:c>
      <x:c r="R1" s="3" t="str">
        <x:v>Benchmark-derived infrastructure economics</x:v>
      </x:c>
      <x:c r="S1" s="3" t="str">
        <x:v>Benchmark-derived infrastructure economics</x:v>
      </x:c>
      <x:c r="T1" s="3" t="str">
        <x:v>Benchmark-derived infrastructure economics</x:v>
      </x:c>
      <x:c r="U1" s="3" t="str">
        <x:v>Benchmark-derived infrastructure economics</x:v>
      </x:c>
      <x:c r="V1" s="3" t="str">
        <x:v>Benchmark-derived infrastructure economics</x:v>
      </x:c>
      <x:c r="W1" s="3" t="str">
        <x:v>Benchmark-derived infrastructure economics</x:v>
      </x:c>
      <x:c r="X1" s="3" t="str">
        <x:v>Benchmark-derived infrastructure economics</x:v>
      </x:c>
      <x:c r="Y1" s="3" t="str">
        <x:v>Benchmark-derived infrastructure economics</x:v>
      </x:c>
      <x:c r="Z1" s="3" t="str">
        <x:v>Benchmark-derived infrastructure economics</x:v>
      </x:c>
      <x:c r="AA1" s="3" t="str">
        <x:v>Benchmark-derived infrastructure economics</x:v>
      </x:c>
      <x:c r="AB1" s="3" t="str">
        <x:v>Benchmark-derived infrastructure economics</x:v>
      </x:c>
      <x:c r="AC1" s="3" t="str">
        <x:v>Benchmark-derived infrastructure economics</x:v>
      </x:c>
      <x:c r="AD1" s="3" t="str">
        <x:v>Benchmark-derived infrastructure economics</x:v>
      </x:c>
      <x:c r="AE1" s="3" t="str">
        <x:v>Benchmark-derived infrastructure economics</x:v>
      </x:c>
      <x:c r="AF1" s="3" t="str">
        <x:v>Benchmark-derived infrastructure economics</x:v>
      </x:c>
    </x:row>
    <x:row r="2" ht="30" customHeight="1">
      <x:c r="A2" s="7" t="str">
        <x:v>Orange/estimated outputs combine published hardware prices with workload, utilization, amortization, and throughput assumptions. All infrastructure curves are capacity-constrained staircases.</x:v>
      </x:c>
      <x:c r="B2" s="7" t="str">
        <x:v>Orange/estimated outputs combine published hardware prices with workload, utilization, amortization, and throughput assumptions. All infrastructure curves are capacity-constrained staircases.</x:v>
      </x:c>
      <x:c r="C2" s="7" t="str">
        <x:v>Orange/estimated outputs combine published hardware prices with workload, utilization, amortization, and throughput assumptions. All infrastructure curves are capacity-constrained staircases.</x:v>
      </x:c>
      <x:c r="D2" s="7" t="str">
        <x:v>Orange/estimated outputs combine published hardware prices with workload, utilization, amortization, and throughput assumptions. All infrastructure curves are capacity-constrained staircases.</x:v>
      </x:c>
      <x:c r="E2" s="7" t="str">
        <x:v>Orange/estimated outputs combine published hardware prices with workload, utilization, amortization, and throughput assumptions. All infrastructure curves are capacity-constrained staircases.</x:v>
      </x:c>
      <x:c r="F2" s="7" t="str">
        <x:v>Orange/estimated outputs combine published hardware prices with workload, utilization, amortization, and throughput assumptions. All infrastructure curves are capacity-constrained staircases.</x:v>
      </x:c>
      <x:c r="G2" s="7" t="str">
        <x:v>Orange/estimated outputs combine published hardware prices with workload, utilization, amortization, and throughput assumptions. All infrastructure curves are capacity-constrained staircases.</x:v>
      </x:c>
      <x:c r="H2" s="7" t="str">
        <x:v>Orange/estimated outputs combine published hardware prices with workload, utilization, amortization, and throughput assumptions. All infrastructure curves are capacity-constrained staircases.</x:v>
      </x:c>
      <x:c r="I2" s="7" t="str">
        <x:v>Orange/estimated outputs combine published hardware prices with workload, utilization, amortization, and throughput assumptions. All infrastructure curves are capacity-constrained staircases.</x:v>
      </x:c>
      <x:c r="J2" s="7" t="str">
        <x:v>Orange/estimated outputs combine published hardware prices with workload, utilization, amortization, and throughput assumptions. All infrastructure curves are capacity-constrained staircases.</x:v>
      </x:c>
      <x:c r="K2" s="7" t="str">
        <x:v>Orange/estimated outputs combine published hardware prices with workload, utilization, amortization, and throughput assumptions. All infrastructure curves are capacity-constrained staircases.</x:v>
      </x:c>
      <x:c r="L2" s="7" t="str">
        <x:v>Orange/estimated outputs combine published hardware prices with workload, utilization, amortization, and throughput assumptions. All infrastructure curves are capacity-constrained staircases.</x:v>
      </x:c>
      <x:c r="M2" s="7" t="str">
        <x:v>Orange/estimated outputs combine published hardware prices with workload, utilization, amortization, and throughput assumptions. All infrastructure curves are capacity-constrained staircases.</x:v>
      </x:c>
      <x:c r="N2" s="7" t="str">
        <x:v>Orange/estimated outputs combine published hardware prices with workload, utilization, amortization, and throughput assumptions. All infrastructure curves are capacity-constrained staircases.</x:v>
      </x:c>
      <x:c r="O2" s="7" t="str">
        <x:v>Orange/estimated outputs combine published hardware prices with workload, utilization, amortization, and throughput assumptions. All infrastructure curves are capacity-constrained staircases.</x:v>
      </x:c>
      <x:c r="P2" s="7" t="str">
        <x:v>Orange/estimated outputs combine published hardware prices with workload, utilization, amortization, and throughput assumptions. All infrastructure curves are capacity-constrained staircases.</x:v>
      </x:c>
      <x:c r="Q2" s="7" t="str">
        <x:v>Orange/estimated outputs combine published hardware prices with workload, utilization, amortization, and throughput assumptions. All infrastructure curves are capacity-constrained staircases.</x:v>
      </x:c>
      <x:c r="R2" s="7" t="str">
        <x:v>Orange/estimated outputs combine published hardware prices with workload, utilization, amortization, and throughput assumptions. All infrastructure curves are capacity-constrained staircases.</x:v>
      </x:c>
      <x:c r="S2" s="7" t="str">
        <x:v>Orange/estimated outputs combine published hardware prices with workload, utilization, amortization, and throughput assumptions. All infrastructure curves are capacity-constrained staircases.</x:v>
      </x:c>
      <x:c r="T2" s="7" t="str">
        <x:v>Orange/estimated outputs combine published hardware prices with workload, utilization, amortization, and throughput assumptions. All infrastructure curves are capacity-constrained staircases.</x:v>
      </x:c>
      <x:c r="U2" s="7" t="str">
        <x:v>Orange/estimated outputs combine published hardware prices with workload, utilization, amortization, and throughput assumptions. All infrastructure curves are capacity-constrained staircases.</x:v>
      </x:c>
      <x:c r="V2" s="7" t="str">
        <x:v>Orange/estimated outputs combine published hardware prices with workload, utilization, amortization, and throughput assumptions. All infrastructure curves are capacity-constrained staircases.</x:v>
      </x:c>
      <x:c r="W2" s="7" t="str">
        <x:v>Orange/estimated outputs combine published hardware prices with workload, utilization, amortization, and throughput assumptions. All infrastructure curves are capacity-constrained staircases.</x:v>
      </x:c>
      <x:c r="X2" s="7" t="str">
        <x:v>Orange/estimated outputs combine published hardware prices with workload, utilization, amortization, and throughput assumptions. All infrastructure curves are capacity-constrained staircases.</x:v>
      </x:c>
      <x:c r="Y2" s="7" t="str">
        <x:v>Orange/estimated outputs combine published hardware prices with workload, utilization, amortization, and throughput assumptions. All infrastructure curves are capacity-constrained staircases.</x:v>
      </x:c>
      <x:c r="Z2" s="7" t="str">
        <x:v>Orange/estimated outputs combine published hardware prices with workload, utilization, amortization, and throughput assumptions. All infrastructure curves are capacity-constrained staircases.</x:v>
      </x:c>
      <x:c r="AA2" s="7" t="str">
        <x:v>Orange/estimated outputs combine published hardware prices with workload, utilization, amortization, and throughput assumptions. All infrastructure curves are capacity-constrained staircases.</x:v>
      </x:c>
      <x:c r="AB2" s="7" t="str">
        <x:v>Orange/estimated outputs combine published hardware prices with workload, utilization, amortization, and throughput assumptions. All infrastructure curves are capacity-constrained staircases.</x:v>
      </x:c>
      <x:c r="AC2" s="7" t="str">
        <x:v>Orange/estimated outputs combine published hardware prices with workload, utilization, amortization, and throughput assumptions. All infrastructure curves are capacity-constrained staircases.</x:v>
      </x:c>
      <x:c r="AD2" s="7" t="str">
        <x:v>Orange/estimated outputs combine published hardware prices with workload, utilization, amortization, and throughput assumptions. All infrastructure curves are capacity-constrained staircases.</x:v>
      </x:c>
      <x:c r="AE2" s="7" t="str">
        <x:v>Orange/estimated outputs combine published hardware prices with workload, utilization, amortization, and throughput assumptions. All infrastructure curves are capacity-constrained staircases.</x:v>
      </x:c>
      <x:c r="AF2" s="7" t="str">
        <x:v>Orange/estimated outputs combine published hardware prices with workload, utilization, amortization, and throughput assumptions. All infrastructure curves are capacity-constrained staircases.</x:v>
      </x:c>
    </x:row>
    <x:row r="4" ht="34" customHeight="1">
      <x:c r="A4" s="35" t="str">
        <x:v>ID</x:v>
      </x:c>
      <x:c r="B4" s="36" t="str">
        <x:v>Scenario</x:v>
      </x:c>
      <x:c r="C4" s="36" t="str">
        <x:v>Category</x:v>
      </x:c>
      <x:c r="D4" s="36" t="str">
        <x:v>Deployment</x:v>
      </x:c>
      <x:c r="E4" s="36" t="str">
        <x:v>Region</x:v>
      </x:c>
      <x:c r="F4" s="36" t="str">
        <x:v>Model / benchmark profile</x:v>
      </x:c>
      <x:c r="G4" s="36" t="str">
        <x:v>Capability note</x:v>
      </x:c>
      <x:c r="H4" s="36" t="str">
        <x:v>Hardware</x:v>
      </x:c>
      <x:c r="I4" s="36" t="str">
        <x:v>GPU count</x:v>
      </x:c>
      <x:c r="J4" s="36" t="str">
        <x:v>Hourly price</x:v>
      </x:c>
      <x:c r="K4" s="36" t="str">
        <x:v>Purchase price</x:v>
      </x:c>
      <x:c r="L4" s="36" t="str">
        <x:v>Max facility kW</x:v>
      </x:c>
      <x:c r="M4" s="36" t="str">
        <x:v>Prefill tok/s</x:v>
      </x:c>
      <x:c r="N4" s="36" t="str">
        <x:v>Decode tok/s</x:v>
      </x:c>
      <x:c r="O4" s="36" t="str">
        <x:v>Throughput status</x:v>
      </x:c>
      <x:c r="P4" s="36" t="str">
        <x:v>Cost method</x:v>
      </x:c>
      <x:c r="Q4" s="36" t="str">
        <x:v>Economic capex / mo</x:v>
      </x:c>
      <x:c r="R4" s="36" t="str">
        <x:v>Energy / mo</x:v>
      </x:c>
      <x:c r="S4" s="36" t="str">
        <x:v>Colo / mo</x:v>
      </x:c>
      <x:c r="T4" s="36" t="str">
        <x:v>Maintenance / mo</x:v>
      </x:c>
      <x:c r="U4" s="36" t="str">
        <x:v>Monthly node cost</x:v>
      </x:c>
      <x:c r="V4" s="36" t="str">
        <x:v>Sec / std request</x:v>
      </x:c>
      <x:c r="W4" s="36" t="str">
        <x:v>Requests / node / mo</x:v>
      </x:c>
      <x:c r="X4" s="36" t="str">
        <x:v>Capacity M total tok / mo</x:v>
      </x:c>
      <x:c r="Y4" s="36" t="str">
        <x:v>Est. input $/1M</x:v>
      </x:c>
      <x:c r="Z4" s="36" t="str">
        <x:v>Est. output $/1M</x:v>
      </x:c>
      <x:c r="AA4" s="36" t="str">
        <x:v>Est. std request</x:v>
      </x:c>
      <x:c r="AB4" s="36" t="str">
        <x:v>Full-util blended $/1M</x:v>
      </x:c>
      <x:c r="AC4" s="36" t="str">
        <x:v>Cost status</x:v>
      </x:c>
      <x:c r="AD4" s="36" t="str">
        <x:v>Price source</x:v>
      </x:c>
      <x:c r="AE4" s="36" t="str">
        <x:v>Throughput source</x:v>
      </x:c>
      <x:c r="AF4" s="37" t="str">
        <x:v>Notes</x:v>
      </x:c>
    </x:row>
    <x:row r="5" ht="52" customHeight="1">
      <x:c r="A5" s="13" t="str">
        <x:v>INF-001</x:v>
      </x:c>
      <x:c r="B5" s="13" t="str">
        <x:v>AWS 8xH200 on-demand</x:v>
      </x:c>
      <x:c r="C5" s="13" t="str">
        <x:v>Hyperscaler</x:v>
      </x:c>
      <x:c r="D5" s="13" t="str">
        <x:v>Always-on dedicated</x:v>
      </x:c>
      <x:c r="E5" s="13" t="str">
        <x:v>us-east-1</x:v>
      </x:c>
      <x:c r="F5" s="13" t="str">
        <x:v>Llama 3.3 70B FP8 interactive proxy</x:v>
      </x:c>
      <x:c r="G5" s="13" t="str">
        <x:v>Open 70B; not frontier-equivalent</x:v>
      </x:c>
      <x:c r="H5" s="13" t="str">
        <x:v>8x H200</x:v>
      </x:c>
      <x:c r="I5" s="13" t="n">
        <x:v>8</x:v>
      </x:c>
      <x:c r="J5" s="90" t="n">
        <x:v>63.296</x:v>
      </x:c>
      <x:c r="K5" s="90"/>
      <x:c r="L5" s="90"/>
      <x:c r="M5" s="91" t="n">
        <x:v>134183</x:v>
      </x:c>
      <x:c r="N5" s="91" t="n">
        <x:v>863.36</x:v>
      </x:c>
      <x:c r="O5" s="13" t="str">
        <x:v>Derived from published benchmark</x:v>
      </x:c>
      <x:c r="P5" s="13" t="str">
        <x:v>Rental</x:v>
      </x:c>
      <x:c r="Q5" s="92" t="n">
        <x:f>IF(K5="",0,K5*(1-'Assumptions'!$B$12)/'Assumptions'!$B$11)</x:f>
        <x:v>0</x:v>
      </x:c>
      <x:c r="R5" s="92" t="n">
        <x:f>IF(P5="Owned on-prem",L5*'Assumptions'!$B$16*'Assumptions'!$B$9*'Assumptions'!$B$15*'Assumptions'!$B$14,0)</x:f>
        <x:v>0</x:v>
      </x:c>
      <x:c r="S5" s="92" t="n">
        <x:f>IF(P5="Owned colo",L5*'Assumptions'!$B$17,0)</x:f>
        <x:v>0</x:v>
      </x:c>
      <x:c r="T5" s="92" t="n">
        <x:f>IF(K5="",0,K5*'Assumptions'!$B$13/12)</x:f>
        <x:v>0</x:v>
      </x:c>
      <x:c r="U5" s="92" t="n">
        <x:f>IF(P5="Rental",J5*'Assumptions'!$B$9,Q5+R5+S5+T5)</x:f>
        <x:v>46206.08</x:v>
      </x:c>
      <x:c r="V5" s="93" t="n">
        <x:f>'Assumptions'!$B$5/M5+'Assumptions'!$B$6/N5</x:f>
        <x:v>6.014902175434855</x:v>
      </x:c>
      <x:c r="W5" s="94" t="n">
        <x:f>'Assumptions'!$B$9*3600*'Assumptions'!$B$10/V5</x:f>
        <x:v>349531.8691276977</x:v>
      </x:c>
      <x:c r="X5" s="94" t="n">
        <x:f>W5*'Assumptions'!$B$7/1000000</x:f>
        <x:v>12233.615419469419</x:v>
      </x:c>
      <x:c r="Y5" s="95" t="n">
        <x:f>U5/(M5*'Assumptions'!$B$9*3600*'Assumptions'!$B$10)*1000000</x:f>
        <x:v>0.16378958420796808</x:v>
      </x:c>
      <x:c r="Z5" s="95" t="n">
        <x:f>U5/(N5*'Assumptions'!$B$9*3600*'Assumptions'!$B$10)*1000000</x:f>
        <x:v>25.456099168108064</x:v>
      </x:c>
      <x:c r="AA5" s="95" t="n">
        <x:f>U5/W5</x:f>
        <x:v>0.13219418336677938</x:v>
      </x:c>
      <x:c r="AB5" s="95" t="n">
        <x:f>U5/X5</x:f>
        <x:v>3.776976667622268</x:v>
      </x:c>
      <x:c r="AC5" s="13" t="str">
        <x:v>Published hourly + estimated throughput</x:v>
      </x:c>
      <x:c r="AD5" s="13" t="str">
        <x:v>https://pricing.us-east-1.amazonaws.com/offers/v1.0/aws/AmazonEC2/20260714202911/us-east-1/index.json</x:v>
      </x:c>
      <x:c r="AE5" s="13" t="str">
        <x:v>https://docs.nvidia.com/nim/benchmarking/llm/latest/performance.html</x:v>
      </x:c>
      <x:c r="AF5" s="13" t="str">
        <x:v>Four modeled TP2 replicas; c=5 benchmark; warm 24/7 endpoint.</x:v>
      </x:c>
    </x:row>
    <x:row r="6" ht="52" customHeight="1">
      <x:c r="A6" s="13" t="str">
        <x:v>INF-002</x:v>
      </x:c>
      <x:c r="B6" s="13" t="str">
        <x:v>Azure 8xH200 on-demand</x:v>
      </x:c>
      <x:c r="C6" s="13" t="str">
        <x:v>Hyperscaler</x:v>
      </x:c>
      <x:c r="D6" s="13" t="str">
        <x:v>Always-on dedicated</x:v>
      </x:c>
      <x:c r="E6" s="13" t="str">
        <x:v>eastus2</x:v>
      </x:c>
      <x:c r="F6" s="13" t="str">
        <x:v>Llama 3.3 70B FP8 interactive proxy</x:v>
      </x:c>
      <x:c r="G6" s="13" t="str">
        <x:v>Open 70B; not frontier-equivalent</x:v>
      </x:c>
      <x:c r="H6" s="13" t="str">
        <x:v>8x H200</x:v>
      </x:c>
      <x:c r="I6" s="13" t="n">
        <x:v>8</x:v>
      </x:c>
      <x:c r="J6" s="90" t="n">
        <x:v>84.8</x:v>
      </x:c>
      <x:c r="K6" s="90"/>
      <x:c r="L6" s="90"/>
      <x:c r="M6" s="91" t="n">
        <x:v>134183</x:v>
      </x:c>
      <x:c r="N6" s="91" t="n">
        <x:v>863.36</x:v>
      </x:c>
      <x:c r="O6" s="13" t="str">
        <x:v>Derived from published benchmark</x:v>
      </x:c>
      <x:c r="P6" s="13" t="str">
        <x:v>Rental</x:v>
      </x:c>
      <x:c r="Q6" s="92" t="n">
        <x:f>IF(K6="",0,K6*(1-'Assumptions'!$B$12)/'Assumptions'!$B$11)</x:f>
        <x:v>0</x:v>
      </x:c>
      <x:c r="R6" s="92" t="n">
        <x:f>IF(P6="Owned on-prem",L6*'Assumptions'!$B$16*'Assumptions'!$B$9*'Assumptions'!$B$15*'Assumptions'!$B$14,0)</x:f>
        <x:v>0</x:v>
      </x:c>
      <x:c r="S6" s="92" t="n">
        <x:f>IF(P6="Owned colo",L6*'Assumptions'!$B$17,0)</x:f>
        <x:v>0</x:v>
      </x:c>
      <x:c r="T6" s="92" t="n">
        <x:f>IF(K6="",0,K6*'Assumptions'!$B$13/12)</x:f>
        <x:v>0</x:v>
      </x:c>
      <x:c r="U6" s="92" t="n">
        <x:f>IF(P6="Rental",J6*'Assumptions'!$B$9,Q6+R6+S6+T6)</x:f>
        <x:v>61904</x:v>
      </x:c>
      <x:c r="V6" s="93" t="n">
        <x:f>'Assumptions'!$B$5/M6+'Assumptions'!$B$6/N6</x:f>
        <x:v>6.014902175434855</x:v>
      </x:c>
      <x:c r="W6" s="94" t="n">
        <x:f>'Assumptions'!$B$9*3600*'Assumptions'!$B$10/V6</x:f>
        <x:v>349531.8691276977</x:v>
      </x:c>
      <x:c r="X6" s="94" t="n">
        <x:f>W6*'Assumptions'!$B$7/1000000</x:f>
        <x:v>12233.615419469419</x:v>
      </x:c>
      <x:c r="Y6" s="95" t="n">
        <x:f>U6/(M6*'Assumptions'!$B$9*3600*'Assumptions'!$B$10)*1000000</x:f>
        <x:v>0.21943498389844052</x:v>
      </x:c>
      <x:c r="Z6" s="95" t="n">
        <x:f>U6/(N6*'Assumptions'!$B$9*3600*'Assumptions'!$B$10)*1000000</x:f>
        <x:v>34.104480685281274</x:v>
      </x:c>
      <x:c r="AA6" s="95" t="n">
        <x:f>U6/W6</x:f>
        <x:v>0.1771054529433596</x:v>
      </x:c>
      <x:c r="AB6" s="95" t="n">
        <x:f>U6/X6</x:f>
        <x:v>5.060155798381704</x:v>
      </x:c>
      <x:c r="AC6" s="13" t="str">
        <x:v>Published hourly + estimated throughput</x:v>
      </x:c>
      <x:c r="AD6" s="13" t="str">
        <x:v>https://prices.azure.com/api/retail/prices</x:v>
      </x:c>
      <x:c r="AE6" s="13" t="str">
        <x:v>https://docs.nvidia.com/nim/benchmarking/llm/latest/performance.html</x:v>
      </x:c>
      <x:c r="AF6" s="13" t="str">
        <x:v>Four modeled TP2 replicas; c=5 benchmark; warm 24/7 endpoint.</x:v>
      </x:c>
    </x:row>
    <x:row r="7" ht="52" customHeight="1">
      <x:c r="A7" s="13" t="str">
        <x:v>INF-003</x:v>
      </x:c>
      <x:c r="B7" s="13" t="str">
        <x:v>GCP 8xH200 on-demand</x:v>
      </x:c>
      <x:c r="C7" s="13" t="str">
        <x:v>Hyperscaler</x:v>
      </x:c>
      <x:c r="D7" s="13" t="str">
        <x:v>Always-on dedicated</x:v>
      </x:c>
      <x:c r="E7" s="13" t="str">
        <x:v>us-central1</x:v>
      </x:c>
      <x:c r="F7" s="13" t="str">
        <x:v>Llama 3.3 70B FP8 interactive proxy</x:v>
      </x:c>
      <x:c r="G7" s="13" t="str">
        <x:v>Open 70B; not frontier-equivalent</x:v>
      </x:c>
      <x:c r="H7" s="13" t="str">
        <x:v>8x H200</x:v>
      </x:c>
      <x:c r="I7" s="13" t="n">
        <x:v>8</x:v>
      </x:c>
      <x:c r="J7" s="90" t="n">
        <x:v>84.806908493</x:v>
      </x:c>
      <x:c r="K7" s="90"/>
      <x:c r="L7" s="90"/>
      <x:c r="M7" s="91" t="n">
        <x:v>134183</x:v>
      </x:c>
      <x:c r="N7" s="91" t="n">
        <x:v>863.36</x:v>
      </x:c>
      <x:c r="O7" s="13" t="str">
        <x:v>Derived from published benchmark</x:v>
      </x:c>
      <x:c r="P7" s="13" t="str">
        <x:v>Rental</x:v>
      </x:c>
      <x:c r="Q7" s="92" t="n">
        <x:f>IF(K7="",0,K7*(1-'Assumptions'!$B$12)/'Assumptions'!$B$11)</x:f>
        <x:v>0</x:v>
      </x:c>
      <x:c r="R7" s="92" t="n">
        <x:f>IF(P7="Owned on-prem",L7*'Assumptions'!$B$16*'Assumptions'!$B$9*'Assumptions'!$B$15*'Assumptions'!$B$14,0)</x:f>
        <x:v>0</x:v>
      </x:c>
      <x:c r="S7" s="92" t="n">
        <x:f>IF(P7="Owned colo",L7*'Assumptions'!$B$17,0)</x:f>
        <x:v>0</x:v>
      </x:c>
      <x:c r="T7" s="92" t="n">
        <x:f>IF(K7="",0,K7*'Assumptions'!$B$13/12)</x:f>
        <x:v>0</x:v>
      </x:c>
      <x:c r="U7" s="92" t="n">
        <x:f>IF(P7="Rental",J7*'Assumptions'!$B$9,Q7+R7+S7+T7)</x:f>
        <x:v>61909.043199889995</x:v>
      </x:c>
      <x:c r="V7" s="93" t="n">
        <x:f>'Assumptions'!$B$5/M7+'Assumptions'!$B$6/N7</x:f>
        <x:v>6.014902175434855</x:v>
      </x:c>
      <x:c r="W7" s="94" t="n">
        <x:f>'Assumptions'!$B$9*3600*'Assumptions'!$B$10/V7</x:f>
        <x:v>349531.8691276977</x:v>
      </x:c>
      <x:c r="X7" s="94" t="n">
        <x:f>W7*'Assumptions'!$B$7/1000000</x:f>
        <x:v>12233.615419469419</x:v>
      </x:c>
      <x:c r="Y7" s="95" t="n">
        <x:f>U7/(M7*'Assumptions'!$B$9*3600*'Assumptions'!$B$10)*1000000</x:f>
        <x:v>0.2194528608447874</x:v>
      </x:c>
      <x:c r="Z7" s="95" t="n">
        <x:f>U7/(N7*'Assumptions'!$B$9*3600*'Assumptions'!$B$10)*1000000</x:f>
        <x:v>34.1072591117681</x:v>
      </x:c>
      <x:c r="AA7" s="95" t="n">
        <x:f>U7/W7</x:f>
        <x:v>0.17711988138418414</x:v>
      </x:c>
      <x:c r="AB7" s="95" t="n">
        <x:f>U7/X7</x:f>
        <x:v>5.0605680395481185</x:v>
      </x:c>
      <x:c r="AC7" s="13" t="str">
        <x:v>Published hourly + estimated throughput</x:v>
      </x:c>
      <x:c r="AD7" s="13" t="str">
        <x:v>https://cloud.google.com/products/compute/pricing/accelerator-optimized</x:v>
      </x:c>
      <x:c r="AE7" s="13" t="str">
        <x:v>https://docs.nvidia.com/nim/benchmarking/llm/latest/performance.html</x:v>
      </x:c>
      <x:c r="AF7" s="13" t="str">
        <x:v>Four modeled TP2 replicas; c=5 benchmark; warm 24/7 endpoint.</x:v>
      </x:c>
    </x:row>
    <x:row r="8" ht="52" customHeight="1">
      <x:c r="A8" s="13" t="str">
        <x:v>INF-004</x:v>
      </x:c>
      <x:c r="B8" s="13" t="str">
        <x:v>CoreWeave 8xH200 on-demand</x:v>
      </x:c>
      <x:c r="C8" s="13" t="str">
        <x:v>Neocloud</x:v>
      </x:c>
      <x:c r="D8" s="13" t="str">
        <x:v>Always-on dedicated</x:v>
      </x:c>
      <x:c r="E8" s="13" t="str">
        <x:v>North America</x:v>
      </x:c>
      <x:c r="F8" s="13" t="str">
        <x:v>Llama 3.3 70B FP8 interactive proxy</x:v>
      </x:c>
      <x:c r="G8" s="13" t="str">
        <x:v>Open 70B; not frontier-equivalent</x:v>
      </x:c>
      <x:c r="H8" s="13" t="str">
        <x:v>8x H200</x:v>
      </x:c>
      <x:c r="I8" s="13" t="n">
        <x:v>8</x:v>
      </x:c>
      <x:c r="J8" s="90" t="n">
        <x:v>50.44</x:v>
      </x:c>
      <x:c r="K8" s="90"/>
      <x:c r="L8" s="90"/>
      <x:c r="M8" s="91" t="n">
        <x:v>134183</x:v>
      </x:c>
      <x:c r="N8" s="91" t="n">
        <x:v>863.36</x:v>
      </x:c>
      <x:c r="O8" s="13" t="str">
        <x:v>Derived from published benchmark</x:v>
      </x:c>
      <x:c r="P8" s="13" t="str">
        <x:v>Rental</x:v>
      </x:c>
      <x:c r="Q8" s="92" t="n">
        <x:f>IF(K8="",0,K8*(1-'Assumptions'!$B$12)/'Assumptions'!$B$11)</x:f>
        <x:v>0</x:v>
      </x:c>
      <x:c r="R8" s="92" t="n">
        <x:f>IF(P8="Owned on-prem",L8*'Assumptions'!$B$16*'Assumptions'!$B$9*'Assumptions'!$B$15*'Assumptions'!$B$14,0)</x:f>
        <x:v>0</x:v>
      </x:c>
      <x:c r="S8" s="92" t="n">
        <x:f>IF(P8="Owned colo",L8*'Assumptions'!$B$17,0)</x:f>
        <x:v>0</x:v>
      </x:c>
      <x:c r="T8" s="92" t="n">
        <x:f>IF(K8="",0,K8*'Assumptions'!$B$13/12)</x:f>
        <x:v>0</x:v>
      </x:c>
      <x:c r="U8" s="92" t="n">
        <x:f>IF(P8="Rental",J8*'Assumptions'!$B$9,Q8+R8+S8+T8)</x:f>
        <x:v>36821.2</x:v>
      </x:c>
      <x:c r="V8" s="93" t="n">
        <x:f>'Assumptions'!$B$5/M8+'Assumptions'!$B$6/N8</x:f>
        <x:v>6.014902175434855</x:v>
      </x:c>
      <x:c r="W8" s="94" t="n">
        <x:f>'Assumptions'!$B$9*3600*'Assumptions'!$B$10/V8</x:f>
        <x:v>349531.8691276977</x:v>
      </x:c>
      <x:c r="X8" s="94" t="n">
        <x:f>W8*'Assumptions'!$B$7/1000000</x:f>
        <x:v>12233.615419469419</x:v>
      </x:c>
      <x:c r="Y8" s="95" t="n">
        <x:f>U8/(M8*'Assumptions'!$B$9*3600*'Assumptions'!$B$10)*1000000</x:f>
        <x:v>0.13052241259242145</x:v>
      </x:c>
      <x:c r="Z8" s="95" t="n">
        <x:f>U8/(N8*'Assumptions'!$B$9*3600*'Assumptions'!$B$10)*1000000</x:f>
        <x:v>20.285731200065893</x:v>
      </x:c>
      <x:c r="AA8" s="95" t="n">
        <x:f>U8/W8</x:f>
        <x:v>0.1053443283781021</x:v>
      </x:c>
      <x:c r="AB8" s="95" t="n">
        <x:f>U8/X8</x:f>
        <x:v>3.0098379536600604</x:v>
      </x:c>
      <x:c r="AC8" s="13" t="str">
        <x:v>Published hourly + estimated throughput</x:v>
      </x:c>
      <x:c r="AD8" s="13" t="str">
        <x:v>https://coreweave.com/pricing</x:v>
      </x:c>
      <x:c r="AE8" s="13" t="str">
        <x:v>https://docs.nvidia.com/nim/benchmarking/llm/latest/performance.html</x:v>
      </x:c>
      <x:c r="AF8" s="13" t="str">
        <x:v>Four modeled TP2 replicas; c=5 benchmark.</x:v>
      </x:c>
    </x:row>
    <x:row r="9" ht="52" customHeight="1">
      <x:c r="A9" s="13" t="str">
        <x:v>INF-005</x:v>
      </x:c>
      <x:c r="B9" s="13" t="str">
        <x:v>Crusoe 8xH200 on-demand</x:v>
      </x:c>
      <x:c r="C9" s="13" t="str">
        <x:v>Neocloud</x:v>
      </x:c>
      <x:c r="D9" s="13" t="str">
        <x:v>Always-on dedicated</x:v>
      </x:c>
      <x:c r="E9" s="13" t="str">
        <x:v>Unspecified</x:v>
      </x:c>
      <x:c r="F9" s="13" t="str">
        <x:v>Llama 3.3 70B FP8 interactive proxy</x:v>
      </x:c>
      <x:c r="G9" s="13" t="str">
        <x:v>Open 70B; not frontier-equivalent</x:v>
      </x:c>
      <x:c r="H9" s="13" t="str">
        <x:v>8x H200</x:v>
      </x:c>
      <x:c r="I9" s="13" t="n">
        <x:v>8</x:v>
      </x:c>
      <x:c r="J9" s="90" t="n">
        <x:v>34.32</x:v>
      </x:c>
      <x:c r="K9" s="90"/>
      <x:c r="L9" s="90"/>
      <x:c r="M9" s="91" t="n">
        <x:v>134183</x:v>
      </x:c>
      <x:c r="N9" s="91" t="n">
        <x:v>863.36</x:v>
      </x:c>
      <x:c r="O9" s="13" t="str">
        <x:v>Derived from published benchmark</x:v>
      </x:c>
      <x:c r="P9" s="13" t="str">
        <x:v>Rental</x:v>
      </x:c>
      <x:c r="Q9" s="92" t="n">
        <x:f>IF(K9="",0,K9*(1-'Assumptions'!$B$12)/'Assumptions'!$B$11)</x:f>
        <x:v>0</x:v>
      </x:c>
      <x:c r="R9" s="92" t="n">
        <x:f>IF(P9="Owned on-prem",L9*'Assumptions'!$B$16*'Assumptions'!$B$9*'Assumptions'!$B$15*'Assumptions'!$B$14,0)</x:f>
        <x:v>0</x:v>
      </x:c>
      <x:c r="S9" s="92" t="n">
        <x:f>IF(P9="Owned colo",L9*'Assumptions'!$B$17,0)</x:f>
        <x:v>0</x:v>
      </x:c>
      <x:c r="T9" s="92" t="n">
        <x:f>IF(K9="",0,K9*'Assumptions'!$B$13/12)</x:f>
        <x:v>0</x:v>
      </x:c>
      <x:c r="U9" s="92" t="n">
        <x:f>IF(P9="Rental",J9*'Assumptions'!$B$9,Q9+R9+S9+T9)</x:f>
        <x:v>25053.6</x:v>
      </x:c>
      <x:c r="V9" s="93" t="n">
        <x:f>'Assumptions'!$B$5/M9+'Assumptions'!$B$6/N9</x:f>
        <x:v>6.014902175434855</x:v>
      </x:c>
      <x:c r="W9" s="94" t="n">
        <x:f>'Assumptions'!$B$9*3600*'Assumptions'!$B$10/V9</x:f>
        <x:v>349531.8691276977</x:v>
      </x:c>
      <x:c r="X9" s="94" t="n">
        <x:f>W9*'Assumptions'!$B$7/1000000</x:f>
        <x:v>12233.615419469419</x:v>
      </x:c>
      <x:c r="Y9" s="95" t="n">
        <x:f>U9/(M9*'Assumptions'!$B$9*3600*'Assumptions'!$B$10)*1000000</x:f>
        <x:v>0.08880906423814243</x:v>
      </x:c>
      <x:c r="Z9" s="95" t="n">
        <x:f>U9/(N9*'Assumptions'!$B$9*3600*'Assumptions'!$B$10)*1000000</x:f>
        <x:v>13.802662466024215</x:v>
      </x:c>
      <x:c r="AA9" s="95" t="n">
        <x:f>U9/W9</x:f>
        <x:v>0.07167758425726535</x:v>
      </x:c>
      <x:c r="AB9" s="95" t="n">
        <x:f>U9/X9</x:f>
        <x:v>2.0479309787790103</x:v>
      </x:c>
      <x:c r="AC9" s="13" t="str">
        <x:v>Calculated published hourly + estimated throughput</x:v>
      </x:c>
      <x:c r="AD9" s="13" t="str">
        <x:v>https://www.crusoe.ai/cloud/pricing</x:v>
      </x:c>
      <x:c r="AE9" s="13" t="str">
        <x:v>https://docs.nvidia.com/nim/benchmarking/llm/latest/performance.html</x:v>
      </x:c>
      <x:c r="AF9" s="13" t="str">
        <x:v>$4.29/GPU-hour x8; no network ingress/egress charge.</x:v>
      </x:c>
    </x:row>
    <x:row r="10" ht="52" customHeight="1">
      <x:c r="A10" s="13" t="str">
        <x:v>INF-006</x:v>
      </x:c>
      <x:c r="B10" s="13" t="str">
        <x:v>Runpod 8xH200 on-demand</x:v>
      </x:c>
      <x:c r="C10" s="13" t="str">
        <x:v>Neocloud / marketplace</x:v>
      </x:c>
      <x:c r="D10" s="13" t="str">
        <x:v>Always-on dedicated</x:v>
      </x:c>
      <x:c r="E10" s="13" t="str">
        <x:v>Variable</x:v>
      </x:c>
      <x:c r="F10" s="13" t="str">
        <x:v>Llama 3.3 70B FP8 interactive proxy</x:v>
      </x:c>
      <x:c r="G10" s="13" t="str">
        <x:v>Open 70B; not frontier-equivalent</x:v>
      </x:c>
      <x:c r="H10" s="13" t="str">
        <x:v>8x H200</x:v>
      </x:c>
      <x:c r="I10" s="13" t="n">
        <x:v>8</x:v>
      </x:c>
      <x:c r="J10" s="90" t="n">
        <x:v>35.12</x:v>
      </x:c>
      <x:c r="K10" s="90"/>
      <x:c r="L10" s="90"/>
      <x:c r="M10" s="91" t="n">
        <x:v>134183</x:v>
      </x:c>
      <x:c r="N10" s="91" t="n">
        <x:v>863.36</x:v>
      </x:c>
      <x:c r="O10" s="13" t="str">
        <x:v>Derived from published benchmark</x:v>
      </x:c>
      <x:c r="P10" s="13" t="str">
        <x:v>Rental</x:v>
      </x:c>
      <x:c r="Q10" s="92" t="n">
        <x:f>IF(K10="",0,K10*(1-'Assumptions'!$B$12)/'Assumptions'!$B$11)</x:f>
        <x:v>0</x:v>
      </x:c>
      <x:c r="R10" s="92" t="n">
        <x:f>IF(P10="Owned on-prem",L10*'Assumptions'!$B$16*'Assumptions'!$B$9*'Assumptions'!$B$15*'Assumptions'!$B$14,0)</x:f>
        <x:v>0</x:v>
      </x:c>
      <x:c r="S10" s="92" t="n">
        <x:f>IF(P10="Owned colo",L10*'Assumptions'!$B$17,0)</x:f>
        <x:v>0</x:v>
      </x:c>
      <x:c r="T10" s="92" t="n">
        <x:f>IF(K10="",0,K10*'Assumptions'!$B$13/12)</x:f>
        <x:v>0</x:v>
      </x:c>
      <x:c r="U10" s="92" t="n">
        <x:f>IF(P10="Rental",J10*'Assumptions'!$B$9,Q10+R10+S10+T10)</x:f>
        <x:v>25637.6</x:v>
      </x:c>
      <x:c r="V10" s="93" t="n">
        <x:f>'Assumptions'!$B$5/M10+'Assumptions'!$B$6/N10</x:f>
        <x:v>6.014902175434855</x:v>
      </x:c>
      <x:c r="W10" s="94" t="n">
        <x:f>'Assumptions'!$B$9*3600*'Assumptions'!$B$10/V10</x:f>
        <x:v>349531.8691276977</x:v>
      </x:c>
      <x:c r="X10" s="94" t="n">
        <x:f>W10*'Assumptions'!$B$7/1000000</x:f>
        <x:v>12233.615419469419</x:v>
      </x:c>
      <x:c r="Y10" s="95" t="n">
        <x:f>U10/(M10*'Assumptions'!$B$9*3600*'Assumptions'!$B$10)*1000000</x:f>
        <x:v>0.09087920559567489</x:v>
      </x:c>
      <x:c r="Z10" s="95" t="n">
        <x:f>U10/(N10*'Assumptions'!$B$9*3600*'Assumptions'!$B$10)*1000000</x:f>
        <x:v>14.124402849847623</x:v>
      </x:c>
      <x:c r="AA10" s="95" t="n">
        <x:f>U10/W10</x:f>
        <x:v>0.07334839041710836</x:v>
      </x:c>
      <x:c r="AB10" s="95" t="n">
        <x:f>U10/X10</x:f>
        <x:v>2.0956682976316676</x:v>
      </x:c>
      <x:c r="AC10" s="13" t="str">
        <x:v>Published starting hourly + estimated throughput</x:v>
      </x:c>
      <x:c r="AD10" s="13" t="str">
        <x:v>https://www.runpod.io/pricing</x:v>
      </x:c>
      <x:c r="AE10" s="13" t="str">
        <x:v>https://docs.nvidia.com/nim/benchmarking/llm/latest/performance.html</x:v>
      </x:c>
      <x:c r="AF10" s="13" t="str">
        <x:v>$4.39/GPU-hour x8; capacity/location varies.</x:v>
      </x:c>
    </x:row>
    <x:row r="11" ht="52" customHeight="1">
      <x:c r="A11" s="13" t="str">
        <x:v>INF-007</x:v>
      </x:c>
      <x:c r="B11" s="13" t="str">
        <x:v>Akash 8xH200 live quote</x:v>
      </x:c>
      <x:c r="C11" s="13" t="str">
        <x:v>DePIN marketplace</x:v>
      </x:c>
      <x:c r="D11" s="13" t="str">
        <x:v>Always-on market lease</x:v>
      </x:c>
      <x:c r="E11" s="13" t="str">
        <x:v>Provider-dependent</x:v>
      </x:c>
      <x:c r="F11" s="13" t="str">
        <x:v>Llama 3.3 70B FP8 interactive proxy</x:v>
      </x:c>
      <x:c r="G11" s="13" t="str">
        <x:v>Open 70B; not frontier-equivalent</x:v>
      </x:c>
      <x:c r="H11" s="13" t="str">
        <x:v>8x H200</x:v>
      </x:c>
      <x:c r="I11" s="13" t="n">
        <x:v>8</x:v>
      </x:c>
      <x:c r="J11" s="90" t="n">
        <x:v>35.92</x:v>
      </x:c>
      <x:c r="K11" s="90"/>
      <x:c r="L11" s="90"/>
      <x:c r="M11" s="91" t="n">
        <x:v>134183</x:v>
      </x:c>
      <x:c r="N11" s="91" t="n">
        <x:v>863.36</x:v>
      </x:c>
      <x:c r="O11" s="13" t="str">
        <x:v>Derived from published benchmark</x:v>
      </x:c>
      <x:c r="P11" s="13" t="str">
        <x:v>Rental</x:v>
      </x:c>
      <x:c r="Q11" s="92" t="n">
        <x:f>IF(K11="",0,K11*(1-'Assumptions'!$B$12)/'Assumptions'!$B$11)</x:f>
        <x:v>0</x:v>
      </x:c>
      <x:c r="R11" s="92" t="n">
        <x:f>IF(P11="Owned on-prem",L11*'Assumptions'!$B$16*'Assumptions'!$B$9*'Assumptions'!$B$15*'Assumptions'!$B$14,0)</x:f>
        <x:v>0</x:v>
      </x:c>
      <x:c r="S11" s="92" t="n">
        <x:f>IF(P11="Owned colo",L11*'Assumptions'!$B$17,0)</x:f>
        <x:v>0</x:v>
      </x:c>
      <x:c r="T11" s="92" t="n">
        <x:f>IF(K11="",0,K11*'Assumptions'!$B$13/12)</x:f>
        <x:v>0</x:v>
      </x:c>
      <x:c r="U11" s="92" t="n">
        <x:f>IF(P11="Rental",J11*'Assumptions'!$B$9,Q11+R11+S11+T11)</x:f>
        <x:v>26221.600000000002</x:v>
      </x:c>
      <x:c r="V11" s="93" t="n">
        <x:f>'Assumptions'!$B$5/M11+'Assumptions'!$B$6/N11</x:f>
        <x:v>6.014902175434855</x:v>
      </x:c>
      <x:c r="W11" s="94" t="n">
        <x:f>'Assumptions'!$B$9*3600*'Assumptions'!$B$10/V11</x:f>
        <x:v>349531.8691276977</x:v>
      </x:c>
      <x:c r="X11" s="94" t="n">
        <x:f>W11*'Assumptions'!$B$7/1000000</x:f>
        <x:v>12233.615419469419</x:v>
      </x:c>
      <x:c r="Y11" s="95" t="n">
        <x:f>U11/(M11*'Assumptions'!$B$9*3600*'Assumptions'!$B$10)*1000000</x:f>
        <x:v>0.09294934695320735</x:v>
      </x:c>
      <x:c r="Z11" s="95" t="n">
        <x:f>U11/(N11*'Assumptions'!$B$9*3600*'Assumptions'!$B$10)*1000000</x:f>
        <x:v>14.446143233671034</x:v>
      </x:c>
      <x:c r="AA11" s="95" t="n">
        <x:f>U11/W11</x:f>
        <x:v>0.07501919657695139</x:v>
      </x:c>
      <x:c r="AB11" s="95" t="n">
        <x:f>U11/X11</x:f>
        <x:v>2.143405616484326</x:v>
      </x:c>
      <x:c r="AC11" s="13" t="str">
        <x:v>Live market quote + estimated throughput</x:v>
      </x:c>
      <x:c r="AD11" s="13" t="str">
        <x:v>https://console-api.akash.network/v1/gpu-prices</x:v>
      </x:c>
      <x:c r="AE11" s="13" t="str">
        <x:v>https://docs.nvidia.com/nim/benchmarking/llm/latest/performance.html</x:v>
      </x:c>
      <x:c r="AF11" s="13" t="str">
        <x:v>$4.49/GPU-hour x8 snapshot; topology and availability must be validated.</x:v>
      </x:c>
    </x:row>
    <x:row r="12" ht="52" customHeight="1">
      <x:c r="A12" s="13" t="str">
        <x:v>INF-008</x:v>
      </x:c>
      <x:c r="B12" s="13" t="str">
        <x:v>Aethir 8xH100 demo rate</x:v>
      </x:c>
      <x:c r="C12" s="13" t="str">
        <x:v>DePIN enterprise</x:v>
      </x:c>
      <x:c r="D12" s="13" t="str">
        <x:v>Always-on rental</x:v>
      </x:c>
      <x:c r="E12" s="13" t="str">
        <x:v>Global</x:v>
      </x:c>
      <x:c r="F12" s="13" t="str">
        <x:v>Llama 3.3 70B FP8 interactive proxy</x:v>
      </x:c>
      <x:c r="G12" s="13" t="str">
        <x:v>Open 70B; not frontier-equivalent</x:v>
      </x:c>
      <x:c r="H12" s="13" t="str">
        <x:v>8x H100</x:v>
      </x:c>
      <x:c r="I12" s="13" t="n">
        <x:v>8</x:v>
      </x:c>
      <x:c r="J12" s="90" t="n">
        <x:v>10</x:v>
      </x:c>
      <x:c r="K12" s="90"/>
      <x:c r="L12" s="90"/>
      <x:c r="M12" s="91" t="n">
        <x:v>137457</x:v>
      </x:c>
      <x:c r="N12" s="91" t="n">
        <x:v>747.2</x:v>
      </x:c>
      <x:c r="O12" s="13" t="str">
        <x:v>Derived from published benchmark</x:v>
      </x:c>
      <x:c r="P12" s="13" t="str">
        <x:v>Rental</x:v>
      </x:c>
      <x:c r="Q12" s="92" t="n">
        <x:f>IF(K12="",0,K12*(1-'Assumptions'!$B$12)/'Assumptions'!$B$11)</x:f>
        <x:v>0</x:v>
      </x:c>
      <x:c r="R12" s="92" t="n">
        <x:f>IF(P12="Owned on-prem",L12*'Assumptions'!$B$16*'Assumptions'!$B$9*'Assumptions'!$B$15*'Assumptions'!$B$14,0)</x:f>
        <x:v>0</x:v>
      </x:c>
      <x:c r="S12" s="92" t="n">
        <x:f>IF(P12="Owned colo",L12*'Assumptions'!$B$17,0)</x:f>
        <x:v>0</x:v>
      </x:c>
      <x:c r="T12" s="92" t="n">
        <x:f>IF(K12="",0,K12*'Assumptions'!$B$13/12)</x:f>
        <x:v>0</x:v>
      </x:c>
      <x:c r="U12" s="92" t="n">
        <x:f>IF(P12="Rental",J12*'Assumptions'!$B$9,Q12+R12+S12+T12)</x:f>
        <x:v>7300</x:v>
      </x:c>
      <x:c r="V12" s="93" t="n">
        <x:f>'Assumptions'!$B$5/M12+'Assumptions'!$B$6/N12</x:f>
        <x:v>6.909898893201079</x:v>
      </x:c>
      <x:c r="W12" s="94" t="n">
        <x:f>'Assumptions'!$B$9*3600*'Assumptions'!$B$10/V12</x:f>
        <x:v>304259.1552343311</x:v>
      </x:c>
      <x:c r="X12" s="94" t="n">
        <x:f>W12*'Assumptions'!$B$7/1000000</x:f>
        <x:v>10649.070433201588</x:v>
      </x:c>
      <x:c r="Y12" s="95" t="n">
        <x:f>U12/(M12*'Assumptions'!$B$9*3600*'Assumptions'!$B$10)*1000000</x:f>
        <x:v>0.02526042487630475</x:v>
      </x:c>
      <x:c r="Z12" s="95" t="n">
        <x:f>U12/(N12*'Assumptions'!$B$9*3600*'Assumptions'!$B$10)*1000000</x:f>
        <x:v>4.646978348798477</x:v>
      </x:c>
      <x:c r="AA12" s="95" t="n">
        <x:f>U12/W12</x:f>
        <x:v>0.023992704490281527</x:v>
      </x:c>
      <x:c r="AB12" s="95" t="n">
        <x:f>U12/X12</x:f>
        <x:v>0.6855058425794722</x:v>
      </x:c>
      <x:c r="AC12" s="13" t="str">
        <x:v>Published demonstration rate + estimated throughput</x:v>
      </x:c>
      <x:c r="AD12" s="13" t="str">
        <x:v>https://enterprise.aethir.com/Pricing</x:v>
      </x:c>
      <x:c r="AE12" s="13" t="str">
        <x:v>https://docs.nvidia.com/nim/benchmarking/llm/latest/performance.html</x:v>
      </x:c>
      <x:c r="AF12" s="13" t="str">
        <x:v>$1.25/GPU-hour demonstration rate; availability and contract terms by quote.</x:v>
      </x:c>
    </x:row>
    <x:row r="13" ht="52" customHeight="1">
      <x:c r="A13" s="13" t="str">
        <x:v>INF-009</x:v>
      </x:c>
      <x:c r="B13" s="13" t="str">
        <x:v>io.net 8xH100 published snapshot</x:v>
      </x:c>
      <x:c r="C13" s="13" t="str">
        <x:v>DePIN / distributed</x:v>
      </x:c>
      <x:c r="D13" s="13" t="str">
        <x:v>Always-on rental</x:v>
      </x:c>
      <x:c r="E13" s="13" t="str">
        <x:v>Global</x:v>
      </x:c>
      <x:c r="F13" s="13" t="str">
        <x:v>Llama 3.3 70B FP8 interactive proxy</x:v>
      </x:c>
      <x:c r="G13" s="13" t="str">
        <x:v>Open 70B; not frontier-equivalent</x:v>
      </x:c>
      <x:c r="H13" s="13" t="str">
        <x:v>8x H100</x:v>
      </x:c>
      <x:c r="I13" s="13" t="n">
        <x:v>8</x:v>
      </x:c>
      <x:c r="J13" s="90" t="n">
        <x:v>17.6</x:v>
      </x:c>
      <x:c r="K13" s="90"/>
      <x:c r="L13" s="90"/>
      <x:c r="M13" s="91" t="n">
        <x:v>137457</x:v>
      </x:c>
      <x:c r="N13" s="91" t="n">
        <x:v>747.2</x:v>
      </x:c>
      <x:c r="O13" s="13" t="str">
        <x:v>Derived from published benchmark</x:v>
      </x:c>
      <x:c r="P13" s="13" t="str">
        <x:v>Rental</x:v>
      </x:c>
      <x:c r="Q13" s="92" t="n">
        <x:f>IF(K13="",0,K13*(1-'Assumptions'!$B$12)/'Assumptions'!$B$11)</x:f>
        <x:v>0</x:v>
      </x:c>
      <x:c r="R13" s="92" t="n">
        <x:f>IF(P13="Owned on-prem",L13*'Assumptions'!$B$16*'Assumptions'!$B$9*'Assumptions'!$B$15*'Assumptions'!$B$14,0)</x:f>
        <x:v>0</x:v>
      </x:c>
      <x:c r="S13" s="92" t="n">
        <x:f>IF(P13="Owned colo",L13*'Assumptions'!$B$17,0)</x:f>
        <x:v>0</x:v>
      </x:c>
      <x:c r="T13" s="92" t="n">
        <x:f>IF(K13="",0,K13*'Assumptions'!$B$13/12)</x:f>
        <x:v>0</x:v>
      </x:c>
      <x:c r="U13" s="92" t="n">
        <x:f>IF(P13="Rental",J13*'Assumptions'!$B$9,Q13+R13+S13+T13)</x:f>
        <x:v>12848.000000000002</x:v>
      </x:c>
      <x:c r="V13" s="93" t="n">
        <x:f>'Assumptions'!$B$5/M13+'Assumptions'!$B$6/N13</x:f>
        <x:v>6.909898893201079</x:v>
      </x:c>
      <x:c r="W13" s="94" t="n">
        <x:f>'Assumptions'!$B$9*3600*'Assumptions'!$B$10/V13</x:f>
        <x:v>304259.1552343311</x:v>
      </x:c>
      <x:c r="X13" s="94" t="n">
        <x:f>W13*'Assumptions'!$B$7/1000000</x:f>
        <x:v>10649.070433201588</x:v>
      </x:c>
      <x:c r="Y13" s="95" t="n">
        <x:f>U13/(M13*'Assumptions'!$B$9*3600*'Assumptions'!$B$10)*1000000</x:f>
        <x:v>0.04445834778229637</x:v>
      </x:c>
      <x:c r="Z13" s="95" t="n">
        <x:f>U13/(N13*'Assumptions'!$B$9*3600*'Assumptions'!$B$10)*1000000</x:f>
        <x:v>8.17868189388532</x:v>
      </x:c>
      <x:c r="AA13" s="95" t="n">
        <x:f>U13/W13</x:f>
        <x:v>0.042227159902895495</x:v>
      </x:c>
      <x:c r="AB13" s="95" t="n">
        <x:f>U13/X13</x:f>
        <x:v>1.2064902829398712</x:v>
      </x:c>
      <x:c r="AC13" s="13" t="str">
        <x:v>Published snapshot + estimated throughput</x:v>
      </x:c>
      <x:c r="AD13" s="13" t="str">
        <x:v>https://io.net/p/faq-how-much-does-it-cost-to-rent-a-gpu-in-the-cloud</x:v>
      </x:c>
      <x:c r="AE13" s="13" t="str">
        <x:v>https://docs.nvidia.com/nim/benchmarking/llm/latest/performance.html</x:v>
      </x:c>
      <x:c r="AF13" s="13" t="str">
        <x:v>$2.20/GPU-hour x8; topology and console availability must be validated.</x:v>
      </x:c>
    </x:row>
    <x:row r="14" ht="52" customHeight="1">
      <x:c r="A14" s="13" t="str">
        <x:v>INF-010</x:v>
      </x:c>
      <x:c r="B14" s="13" t="str">
        <x:v>Owned on-prem 8xH200</x:v>
      </x:c>
      <x:c r="C14" s="13" t="str">
        <x:v>Owned infrastructure</x:v>
      </x:c>
      <x:c r="D14" s="13" t="str">
        <x:v>On-prem economic</x:v>
      </x:c>
      <x:c r="E14" s="13" t="str">
        <x:v>U.S. average</x:v>
      </x:c>
      <x:c r="F14" s="13" t="str">
        <x:v>Llama 3.3 70B FP8 interactive proxy</x:v>
      </x:c>
      <x:c r="G14" s="13" t="str">
        <x:v>Open 70B; not frontier-equivalent</x:v>
      </x:c>
      <x:c r="H14" s="13" t="str">
        <x:v>8x H200</x:v>
      </x:c>
      <x:c r="I14" s="13" t="n">
        <x:v>8</x:v>
      </x:c>
      <x:c r="J14" s="90"/>
      <x:c r="K14" s="90" t="n">
        <x:v>317508.64</x:v>
      </x:c>
      <x:c r="L14" s="90" t="n">
        <x:v>10.2</x:v>
      </x:c>
      <x:c r="M14" s="91" t="n">
        <x:v>134183</x:v>
      </x:c>
      <x:c r="N14" s="91" t="n">
        <x:v>863.36</x:v>
      </x:c>
      <x:c r="O14" s="13" t="str">
        <x:v>Derived from published benchmark</x:v>
      </x:c>
      <x:c r="P14" s="13" t="str">
        <x:v>Owned on-prem</x:v>
      </x:c>
      <x:c r="Q14" s="92" t="n">
        <x:f>IF(K14="",0,K14*(1-'Assumptions'!$B$12)/'Assumptions'!$B$11)</x:f>
        <x:v>7937.716</x:v>
      </x:c>
      <x:c r="R14" s="92" t="n">
        <x:f>IF(P14="Owned on-prem",L14*'Assumptions'!$B$16*'Assumptions'!$B$9*'Assumptions'!$B$15*'Assumptions'!$B$14,0)</x:f>
        <x:v>1199.0978831999998</x:v>
      </x:c>
      <x:c r="S14" s="92" t="n">
        <x:f>IF(P14="Owned colo",L14*'Assumptions'!$B$17,0)</x:f>
        <x:v>0</x:v>
      </x:c>
      <x:c r="T14" s="92" t="n">
        <x:f>IF(K14="",0,K14*'Assumptions'!$B$13/12)</x:f>
        <x:v>0</x:v>
      </x:c>
      <x:c r="U14" s="92" t="n">
        <x:f>IF(P14="Rental",J14*'Assumptions'!$B$9,Q14+R14+S14+T14)</x:f>
        <x:v>9136.8138832</x:v>
      </x:c>
      <x:c r="V14" s="93" t="n">
        <x:f>'Assumptions'!$B$5/M14+'Assumptions'!$B$6/N14</x:f>
        <x:v>6.014902175434855</x:v>
      </x:c>
      <x:c r="W14" s="94" t="n">
        <x:f>'Assumptions'!$B$9*3600*'Assumptions'!$B$10/V14</x:f>
        <x:v>349531.8691276977</x:v>
      </x:c>
      <x:c r="X14" s="94" t="n">
        <x:f>W14*'Assumptions'!$B$7/1000000</x:f>
        <x:v>12233.615419469419</x:v>
      </x:c>
      <x:c r="Y14" s="95" t="n">
        <x:f>U14/(M14*'Assumptions'!$B$9*3600*'Assumptions'!$B$10)*1000000</x:f>
        <x:v>0.03238783612275523</x:v>
      </x:c>
      <x:c r="Z14" s="95" t="n">
        <x:f>U14/(N14*'Assumptions'!$B$9*3600*'Assumptions'!$B$10)*1000000</x:f>
        <x:v>5.033702064561325</x:v>
      </x:c>
      <x:c r="AA14" s="95" t="n">
        <x:f>U14/W14</x:f>
        <x:v>0.026140145406489283</x:v>
      </x:c>
      <x:c r="AB14" s="95" t="n">
        <x:f>U14/X14</x:f>
        <x:v>0.7468612973282652</x:v>
      </x:c>
      <x:c r="AC14" s="13" t="str">
        <x:v>Published capex/power + estimated TCO/throughput</x:v>
      </x:c>
      <x:c r="AD14" s="13" t="str">
        <x:v>https://store.supermicro.com/us_en/8u-gpu-superserver-sys-821ge-tnhr.html</x:v>
      </x:c>
      <x:c r="AE14" s="13" t="str">
        <x:v>https://docs.nvidia.com/nim/benchmarking/llm/latest/performance.html</x:v>
      </x:c>
      <x:c r="AF14" s="13" t="str">
        <x:v>Supermicro starting price; DGX 10.2kW facility proxy; included 3-year warranty.</x:v>
      </x:c>
    </x:row>
    <x:row r="15" ht="52" customHeight="1">
      <x:c r="A15" s="13" t="str">
        <x:v>INF-011</x:v>
      </x:c>
      <x:c r="B15" s="13" t="str">
        <x:v>Owned colocated 8xH200</x:v>
      </x:c>
      <x:c r="C15" s="13" t="str">
        <x:v>Owned / colo</x:v>
      </x:c>
      <x:c r="D15" s="13" t="str">
        <x:v>Colocation economic</x:v>
      </x:c>
      <x:c r="E15" s="13" t="str">
        <x:v>U.S. high-density proxy</x:v>
      </x:c>
      <x:c r="F15" s="13" t="str">
        <x:v>Llama 3.3 70B FP8 interactive proxy</x:v>
      </x:c>
      <x:c r="G15" s="13" t="str">
        <x:v>Open 70B; not frontier-equivalent</x:v>
      </x:c>
      <x:c r="H15" s="13" t="str">
        <x:v>8x H200</x:v>
      </x:c>
      <x:c r="I15" s="13" t="n">
        <x:v>8</x:v>
      </x:c>
      <x:c r="J15" s="90"/>
      <x:c r="K15" s="90" t="n">
        <x:v>317508.64</x:v>
      </x:c>
      <x:c r="L15" s="90" t="n">
        <x:v>10.2</x:v>
      </x:c>
      <x:c r="M15" s="91" t="n">
        <x:v>134183</x:v>
      </x:c>
      <x:c r="N15" s="91" t="n">
        <x:v>863.36</x:v>
      </x:c>
      <x:c r="O15" s="13" t="str">
        <x:v>Derived from published benchmark</x:v>
      </x:c>
      <x:c r="P15" s="13" t="str">
        <x:v>Owned colo</x:v>
      </x:c>
      <x:c r="Q15" s="92" t="n">
        <x:f>IF(K15="",0,K15*(1-'Assumptions'!$B$12)/'Assumptions'!$B$11)</x:f>
        <x:v>7937.716</x:v>
      </x:c>
      <x:c r="R15" s="92" t="n">
        <x:f>IF(P15="Owned on-prem",L15*'Assumptions'!$B$16*'Assumptions'!$B$9*'Assumptions'!$B$15*'Assumptions'!$B$14,0)</x:f>
        <x:v>0</x:v>
      </x:c>
      <x:c r="S15" s="92" t="n">
        <x:f>IF(P15="Owned colo",L15*'Assumptions'!$B$17,0)</x:f>
        <x:v>2550</x:v>
      </x:c>
      <x:c r="T15" s="92" t="n">
        <x:f>IF(K15="",0,K15*'Assumptions'!$B$13/12)</x:f>
        <x:v>0</x:v>
      </x:c>
      <x:c r="U15" s="92" t="n">
        <x:f>IF(P15="Rental",J15*'Assumptions'!$B$9,Q15+R15+S15+T15)</x:f>
        <x:v>10487.716</x:v>
      </x:c>
      <x:c r="V15" s="93" t="n">
        <x:f>'Assumptions'!$B$5/M15+'Assumptions'!$B$6/N15</x:f>
        <x:v>6.014902175434855</x:v>
      </x:c>
      <x:c r="W15" s="94" t="n">
        <x:f>'Assumptions'!$B$9*3600*'Assumptions'!$B$10/V15</x:f>
        <x:v>349531.8691276977</x:v>
      </x:c>
      <x:c r="X15" s="94" t="n">
        <x:f>W15*'Assumptions'!$B$7/1000000</x:f>
        <x:v>12233.615419469419</x:v>
      </x:c>
      <x:c r="Y15" s="95" t="n">
        <x:f>U15/(M15*'Assumptions'!$B$9*3600*'Assumptions'!$B$10)*1000000</x:f>
        <x:v>0.03717646342064192</x:v>
      </x:c>
      <x:c r="Z15" s="95" t="n">
        <x:f>U15/(N15*'Assumptions'!$B$9*3600*'Assumptions'!$B$10)*1000000</x:f>
        <x:v>5.777948238477569</x:v>
      </x:c>
      <x:c r="AA15" s="95" t="n">
        <x:f>U15/W15</x:f>
        <x:v>0.030005035095007106</x:v>
      </x:c>
      <x:c r="AB15" s="95" t="n">
        <x:f>U15/X15</x:f>
        <x:v>0.8572867170002031</x:v>
      </x:c>
      <x:c r="AC15" s="13" t="str">
        <x:v>Published capex + extrapolated colo + estimated throughput</x:v>
      </x:c>
      <x:c r="AD15" s="13" t="str">
        <x:v>https://idacore.com/pricing</x:v>
      </x:c>
      <x:c r="AE15" s="13" t="str">
        <x:v>https://docs.nvidia.com/nim/benchmarking/llm/latest/performance.html</x:v>
      </x:c>
      <x:c r="AF15" s="13" t="str">
        <x:v>$250/kW-month is a megawatt-scale all-in rate extrapolated to one server; no extra power added.</x:v>
      </x:c>
    </x:row>
    <x:row r="16" ht="52" customHeight="1">
      <x:c r="A16" s="13" t="str">
        <x:v>INF-012</x:v>
      </x:c>
      <x:c r="B16" s="13" t="str">
        <x:v>Owned on-prem 8xB200 max-throughput</x:v>
      </x:c>
      <x:c r="C16" s="13" t="str">
        <x:v>Owned infrastructure</x:v>
      </x:c>
      <x:c r="D16" s="13" t="str">
        <x:v>On-prem economic</x:v>
      </x:c>
      <x:c r="E16" s="13" t="str">
        <x:v>U.S. average</x:v>
      </x:c>
      <x:c r="F16" s="13" t="str">
        <x:v>GPT-OSS 20B maximum-batch proxy</x:v>
      </x:c>
      <x:c r="G16" s="13" t="str">
        <x:v>Open 20B; throughput ceiling, not interactive SLA</x:v>
      </x:c>
      <x:c r="H16" s="13" t="str">
        <x:v>8x B200</x:v>
      </x:c>
      <x:c r="I16" s="13" t="n">
        <x:v>8</x:v>
      </x:c>
      <x:c r="J16" s="90"/>
      <x:c r="K16" s="90" t="n">
        <x:v>383856</x:v>
      </x:c>
      <x:c r="L16" s="90" t="n">
        <x:v>14.083</x:v>
      </x:c>
      <x:c r="M16" s="91" t="n">
        <x:v>200000</x:v>
      </x:c>
      <x:c r="N16" s="91" t="n">
        <x:v>21160</x:v>
      </x:c>
      <x:c r="O16" s="13" t="str">
        <x:v>Published output benchmark; prefill estimated</x:v>
      </x:c>
      <x:c r="P16" s="13" t="str">
        <x:v>Owned on-prem</x:v>
      </x:c>
      <x:c r="Q16" s="92" t="n">
        <x:f>IF(K16="",0,K16*(1-'Assumptions'!$B$12)/'Assumptions'!$B$11)</x:f>
        <x:v>9596.400000000001</x:v>
      </x:c>
      <x:c r="R16" s="92" t="n">
        <x:f>IF(P16="Owned on-prem",L16*'Assumptions'!$B$16*'Assumptions'!$B$9*'Assumptions'!$B$15*'Assumptions'!$B$14,0)</x:f>
        <x:v>1655.577989128</x:v>
      </x:c>
      <x:c r="S16" s="92" t="n">
        <x:f>IF(P16="Owned colo",L16*'Assumptions'!$B$17,0)</x:f>
        <x:v>0</x:v>
      </x:c>
      <x:c r="T16" s="92" t="n">
        <x:f>IF(K16="",0,K16*'Assumptions'!$B$13/12)</x:f>
        <x:v>0</x:v>
      </x:c>
      <x:c r="U16" s="92" t="n">
        <x:f>IF(P16="Rental",J16*'Assumptions'!$B$9,Q16+R16+S16+T16)</x:f>
        <x:v>11251.977989128001</x:v>
      </x:c>
      <x:c r="V16" s="93" t="n">
        <x:f>'Assumptions'!$B$5/M16+'Assumptions'!$B$6/N16</x:f>
        <x:v>0.38629489603024575</x:v>
      </x:c>
      <x:c r="W16" s="94" t="n">
        <x:f>'Assumptions'!$B$9*3600*'Assumptions'!$B$10/V16</x:f>
        <x:v>5442474.186444825</x:v>
      </x:c>
      <x:c r="X16" s="94" t="n">
        <x:f>W16*'Assumptions'!$B$7/1000000</x:f>
        <x:v>190486.59652556884</x:v>
      </x:c>
      <x:c r="Y16" s="95" t="n">
        <x:f>U16/(M16*'Assumptions'!$B$9*3600*'Assumptions'!$B$10)*1000000</x:f>
        <x:v>0.026759841108086</x:v>
      </x:c>
      <x:c r="Z16" s="95" t="n">
        <x:f>U16/(N16*'Assumptions'!$B$9*3600*'Assumptions'!$B$10)*1000000</x:f>
        <x:v>0.2529285548968431</x:v>
      </x:c>
      <x:c r="AA16" s="95" t="n">
        <x:f>U16/W16</x:f>
        <x:v>0.0020674380077267958</x:v>
      </x:c>
      <x:c r="AB16" s="95" t="n">
        <x:f>U16/X16</x:f>
        <x:v>0.05906965736362274</x:v>
      </x:c>
      <x:c r="AC16" s="13" t="str">
        <x:v>Published capex/power + estimated TCO</x:v>
      </x:c>
      <x:c r="AD16" s="13" t="str">
        <x:v>https://configurator.exxactcorp.com/configure/TS4-124903244</x:v>
      </x:c>
      <x:c r="AE16" s="13" t="str">
        <x:v>https://developer.nvidia.com/deep-learning-performance-training-inference/ai-inference</x:v>
      </x:c>
      <x:c r="AF16" s="13" t="str">
        <x:v>NVIDIA best-throughput FP4; eight modeled TP1 replicas; not capability-equivalent to 70B/frontier rows.</x:v>
      </x:c>
    </x:row>
    <x:row r="17" ht="52" customHeight="1">
      <x:c r="A17" s="13" t="str">
        <x:v>INF-013</x:v>
      </x:c>
      <x:c r="B17" s="13" t="str">
        <x:v>Local RTX PRO 6000 workstation</x:v>
      </x:c>
      <x:c r="C17" s="13" t="str">
        <x:v>Local workstation</x:v>
      </x:c>
      <x:c r="D17" s="13" t="str">
        <x:v>On-prem economic</x:v>
      </x:c>
      <x:c r="E17" s="13" t="str">
        <x:v>U.S. average</x:v>
      </x:c>
      <x:c r="F17" s="13" t="str">
        <x:v>Qwen3-Coder 30B-A3B FP4 proxy</x:v>
      </x:c>
      <x:c r="G17" s="13" t="str">
        <x:v>Efficient open coding; lower capability tier</x:v>
      </x:c>
      <x:c r="H17" s="13" t="str">
        <x:v>1x RTX PRO 6000</x:v>
      </x:c>
      <x:c r="I17" s="13" t="n">
        <x:v>1</x:v>
      </x:c>
      <x:c r="J17" s="90"/>
      <x:c r="K17" s="90" t="n">
        <x:v>17000</x:v>
      </x:c>
      <x:c r="L17" s="90" t="n">
        <x:v>0.9</x:v>
      </x:c>
      <x:c r="M17" s="91" t="n">
        <x:v>10000</x:v>
      </x:c>
      <x:c r="N17" s="91" t="n">
        <x:v>374</x:v>
      </x:c>
      <x:c r="O17" s="13" t="str">
        <x:v>Published output benchmark; prefill and host capex estimated</x:v>
      </x:c>
      <x:c r="P17" s="13" t="str">
        <x:v>Owned on-prem</x:v>
      </x:c>
      <x:c r="Q17" s="92" t="n">
        <x:f>IF(K17="",0,K17*(1-'Assumptions'!$B$12)/'Assumptions'!$B$11)</x:f>
        <x:v>425</x:v>
      </x:c>
      <x:c r="R17" s="92" t="n">
        <x:f>IF(P17="Owned on-prem",L17*'Assumptions'!$B$16*'Assumptions'!$B$9*'Assumptions'!$B$15*'Assumptions'!$B$14,0)</x:f>
        <x:v>105.8027544</x:v>
      </x:c>
      <x:c r="S17" s="92" t="n">
        <x:f>IF(P17="Owned colo",L17*'Assumptions'!$B$17,0)</x:f>
        <x:v>0</x:v>
      </x:c>
      <x:c r="T17" s="92" t="n">
        <x:f>IF(K17="",0,K17*'Assumptions'!$B$13/12)</x:f>
        <x:v>0</x:v>
      </x:c>
      <x:c r="U17" s="92" t="n">
        <x:f>IF(P17="Rental",J17*'Assumptions'!$B$9,Q17+R17+S17+T17)</x:f>
        <x:v>530.8027544</x:v>
      </x:c>
      <x:c r="V17" s="93" t="n">
        <x:f>'Assumptions'!$B$5/M17+'Assumptions'!$B$6/N17</x:f>
        <x:v>16.36898395721925</x:v>
      </x:c>
      <x:c r="W17" s="94" t="n">
        <x:f>'Assumptions'!$B$9*3600*'Assumptions'!$B$10/V17</x:f>
        <x:v>128438.02678863118</x:v>
      </x:c>
      <x:c r="X17" s="94" t="n">
        <x:f>W17*'Assumptions'!$B$7/1000000</x:f>
        <x:v>4495.330937602091</x:v>
      </x:c>
      <x:c r="Y17" s="95" t="n">
        <x:f>U17/(M17*'Assumptions'!$B$9*3600*'Assumptions'!$B$10)*1000000</x:f>
        <x:v>0.025247467389649923</x:v>
      </x:c>
      <x:c r="Z17" s="95" t="n">
        <x:f>U17/(N17*'Assumptions'!$B$9*3600*'Assumptions'!$B$10)*1000000</x:f>
        <x:v>0.6750659729852921</x:v>
      </x:c>
      <x:c r="AA17" s="95" t="n">
        <x:f>U17/W17</x:f>
        <x:v>0.004132753886615958</x:v>
      </x:c>
      <x:c r="AB17" s="95" t="n">
        <x:f>U17/X17</x:f>
        <x:v>0.11807868247474167</x:v>
      </x:c>
      <x:c r="AC17" s="13" t="str">
        <x:v>Mixed published/estimated</x:v>
      </x:c>
      <x:c r="AD17" s="13" t="str">
        <x:v>https://store.supermicro.com/us_en/server-accessories/graphics-cards.html?graphics_cards_chipset=1489</x:v>
      </x:c>
      <x:c r="AE17" s="13" t="str">
        <x:v>https://developer.nvidia.com/deep-learning-performance-training-inference/ai-inference</x:v>
      </x:c>
      <x:c r="AF17" s="13" t="str">
        <x:v>$12,781 card snapshot plus estimated host; capacity is an analytical proxy, not audited production serving.</x:v>
      </x:c>
    </x:row>
  </x:sheetData>
  <x:mergeCells>
    <x:mergeCell ref="A1:AF1"/>
    <x:mergeCell ref="A2:AF2"/>
  </x:mergeCells>
  <x:conditionalFormatting sqref="AC5:AC17">
    <x:cfRule type="containsText" dxfId="8" priority="1" operator="containsText" text="Published"/>
    <x:cfRule type="containsText" dxfId="9" priority="2" operator="containsText" text="Live"/>
    <x:cfRule type="containsText" dxfId="10" priority="3" operator="containsText" text="Estimated"/>
    <x:cfRule type="containsText" dxfId="11" priority="4" operator="containsText" text="Derived"/>
  </x:conditionalFormatting>
  <x:pageMargins left="0.7" right="0.7" top="0.75" bottom="0.75" header="0.3" footer="0.3"/>
  <x:legacyDrawing xmlns:r="http://schemas.openxmlformats.org/officeDocument/2006/relationships" r:id="Rcd1d71294f544d73"/>
  <x:tableParts count="1">
    <x:tablePart xmlns:r="http://schemas.openxmlformats.org/officeDocument/2006/relationships" r:id="R063267cbbb7247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2" hidden="0" customWidth="1"/>
    <x:col min="4" max="4" width="25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" hidden="0" customWidth="1"/>
  </x:cols>
  <x:sheetData>
    <x:row r="1" ht="32" customHeight="1">
      <x:c r="A1" s="3" t="str">
        <x:v>Formula-backed chart data</x:v>
      </x:c>
      <x:c r="B1" s="3" t="str">
        <x:v>Formula-backed chart data</x:v>
      </x:c>
      <x:c r="C1" s="3" t="str">
        <x:v>Formula-backed chart data</x:v>
      </x:c>
      <x:c r="D1" s="3" t="str">
        <x:v>Formula-backed chart data</x:v>
      </x:c>
      <x:c r="E1" s="3" t="str">
        <x:v>Formula-backed chart data</x:v>
      </x:c>
      <x:c r="F1" s="3" t="str">
        <x:v>Formula-backed chart data</x:v>
      </x:c>
      <x:c r="G1" s="3" t="str">
        <x:v>Formula-backed chart data</x:v>
      </x:c>
      <x:c r="H1" s="3" t="str">
        <x:v>Formula-backed chart data</x:v>
      </x:c>
      <x:c r="I1" s="3" t="str">
        <x:v>Formula-backed chart data</x:v>
      </x:c>
      <x:c r="J1" s="3" t="str">
        <x:v>Formula-backed chart data</x:v>
      </x:c>
      <x:c r="K1" s="3" t="str">
        <x:v>Formula-backed chart data</x:v>
      </x:c>
      <x:c r="L1" s="3" t="str">
        <x:v>Formula-backed chart data</x:v>
      </x:c>
      <x:c r="M1" s="3" t="str">
        <x:v>Formula-backed chart data</x:v>
      </x:c>
      <x:c r="N1" s="3" t="str">
        <x:v>Formula-backed chart data</x:v>
      </x:c>
    </x:row>
    <x:row r="2" ht="30" customHeight="1">
      <x:c r="A2" s="7" t="str">
        <x:v>Usage points are log-spaced. Local/rental curves use ROUNDUP to add whole nodes when one node's modeled capacity is exceeded.</x:v>
      </x:c>
      <x:c r="B2" s="7" t="str">
        <x:v>Usage points are log-spaced. Local/rental curves use ROUNDUP to add whole nodes when one node's modeled capacity is exceeded.</x:v>
      </x:c>
      <x:c r="C2" s="7" t="str">
        <x:v>Usage points are log-spaced. Local/rental curves use ROUNDUP to add whole nodes when one node's modeled capacity is exceeded.</x:v>
      </x:c>
      <x:c r="D2" s="7" t="str">
        <x:v>Usage points are log-spaced. Local/rental curves use ROUNDUP to add whole nodes when one node's modeled capacity is exceeded.</x:v>
      </x:c>
      <x:c r="E2" s="7" t="str">
        <x:v>Usage points are log-spaced. Local/rental curves use ROUNDUP to add whole nodes when one node's modeled capacity is exceeded.</x:v>
      </x:c>
      <x:c r="F2" s="7" t="str">
        <x:v>Usage points are log-spaced. Local/rental curves use ROUNDUP to add whole nodes when one node's modeled capacity is exceeded.</x:v>
      </x:c>
      <x:c r="G2" s="7" t="str">
        <x:v>Usage points are log-spaced. Local/rental curves use ROUNDUP to add whole nodes when one node's modeled capacity is exceeded.</x:v>
      </x:c>
      <x:c r="H2" s="7" t="str">
        <x:v>Usage points are log-spaced. Local/rental curves use ROUNDUP to add whole nodes when one node's modeled capacity is exceeded.</x:v>
      </x:c>
      <x:c r="I2" s="7" t="str">
        <x:v>Usage points are log-spaced. Local/rental curves use ROUNDUP to add whole nodes when one node's modeled capacity is exceeded.</x:v>
      </x:c>
      <x:c r="J2" s="7" t="str">
        <x:v>Usage points are log-spaced. Local/rental curves use ROUNDUP to add whole nodes when one node's modeled capacity is exceeded.</x:v>
      </x:c>
      <x:c r="K2" s="7" t="str">
        <x:v>Usage points are log-spaced. Local/rental curves use ROUNDUP to add whole nodes when one node's modeled capacity is exceeded.</x:v>
      </x:c>
      <x:c r="L2" s="7" t="str">
        <x:v>Usage points are log-spaced. Local/rental curves use ROUNDUP to add whole nodes when one node's modeled capacity is exceeded.</x:v>
      </x:c>
      <x:c r="M2" s="7" t="str">
        <x:v>Usage points are log-spaced. Local/rental curves use ROUNDUP to add whole nodes when one node's modeled capacity is exceeded.</x:v>
      </x:c>
      <x:c r="N2" s="7" t="str">
        <x:v>Usage points are log-spaced. Local/rental curves use ROUNDUP to add whole nodes when one node's modeled capacity is exceeded.</x:v>
      </x:c>
    </x:row>
    <x:row r="4" ht="34" customHeight="1">
      <x:c r="A4" s="35" t="str">
        <x:v>Monthly total tokens (M)</x:v>
      </x:c>
      <x:c r="B4" s="36" t="str">
        <x:v>Equivalent coding requests</x:v>
      </x:c>
      <x:c r="C4" s="36" t="str">
        <x:v>GPT-5.6 Sol — published</x:v>
      </x:c>
      <x:c r="D4" s="36" t="str">
        <x:v>Claude Sonnet 5 — published intro</x:v>
      </x:c>
      <x:c r="E4" s="36" t="str">
        <x:v>Gemini 3.1 Pro — published</x:v>
      </x:c>
      <x:c r="F4" s="36" t="str">
        <x:v>Grok 4.5 — published</x:v>
      </x:c>
      <x:c r="G4" s="36" t="str">
        <x:v>DeepSeek V4 Pro direct — published</x:v>
      </x:c>
      <x:c r="H4" s="36" t="str">
        <x:v>Groq GPT-OSS 120B — published</x:v>
      </x:c>
      <x:c r="I4" s="36" t="str">
        <x:v>AWS 8xH200 — estimated</x:v>
      </x:c>
      <x:c r="J4" s="36" t="str">
        <x:v>Runpod 8xH200 — estimated</x:v>
      </x:c>
      <x:c r="K4" s="36" t="str">
        <x:v>Akash 8xH200 — live+estimated</x:v>
      </x:c>
      <x:c r="L4" s="36" t="str">
        <x:v>Owned colo 8xH200 — estimated</x:v>
      </x:c>
      <x:c r="M4" s="37" t="str">
        <x:v>Local RTX PRO 6000 — estimated</x:v>
      </x:c>
    </x:row>
    <x:row r="5">
      <x:c r="A5" s="38" t="n">
        <x:f>'Assumptions'!B21</x:f>
        <x:v>1</x:v>
      </x:c>
      <x:c r="B5" s="38" t="n">
        <x:f>'Assumptions'!C21</x:f>
        <x:v>28.571428571428573</x:v>
      </x:c>
      <x:c r="C5" s="42" t="n">
        <x:f>$A5*'API Prices'!$M$5</x:f>
        <x:v>8.571428571428571</x:v>
      </x:c>
      <x:c r="D5" s="42" t="n">
        <x:f>$A5*'API Prices'!$M$9</x:f>
        <x:v>3.142857142857143</x:v>
      </x:c>
      <x:c r="E5" s="42" t="n">
        <x:f>$A5*'API Prices'!$M$11</x:f>
        <x:v>3.4285714285714284</x:v>
      </x:c>
      <x:c r="F5" s="42" t="n">
        <x:f>$A5*'API Prices'!$M$13</x:f>
        <x:v>2.571428571428571</x:v>
      </x:c>
      <x:c r="G5" s="42" t="n">
        <x:f>$A5*'API Prices'!$M$23</x:f>
        <x:v>0.4971428571428571</x:v>
      </x:c>
      <x:c r="H5" s="42" t="n">
        <x:f>$A5*'API Prices'!$M$17</x:f>
        <x:v>0.21428571428571427</x:v>
      </x:c>
      <x:c r="I5" s="42" t="n">
        <x:f>IF($A5=0,0,ROUNDUP($A5/'Infra Model'!$X$5,0)*'Infra Model'!$U$5)</x:f>
        <x:v>46206.08</x:v>
      </x:c>
      <x:c r="J5" s="42" t="n">
        <x:f>IF($A5=0,0,ROUNDUP($A5/'Infra Model'!$X$10,0)*'Infra Model'!$U$10)</x:f>
        <x:v>25637.6</x:v>
      </x:c>
      <x:c r="K5" s="42" t="n">
        <x:f>IF($A5=0,0,ROUNDUP($A5/'Infra Model'!$X$11,0)*'Infra Model'!$U$11)</x:f>
        <x:v>26221.600000000002</x:v>
      </x:c>
      <x:c r="L5" s="42" t="n">
        <x:f>IF($A5=0,0,ROUNDUP($A5/'Infra Model'!$X$15,0)*'Infra Model'!$U$15)</x:f>
        <x:v>10487.716</x:v>
      </x:c>
      <x:c r="M5" s="42" t="n">
        <x:f>IF($A5=0,0,ROUNDUP($A5/'Infra Model'!$X$17,0)*'Infra Model'!$U$17)</x:f>
        <x:v>530.8027544</x:v>
      </x:c>
    </x:row>
    <x:row r="6">
      <x:c r="A6" s="38" t="n">
        <x:f>'Assumptions'!B22</x:f>
        <x:v>10</x:v>
      </x:c>
      <x:c r="B6" s="38" t="n">
        <x:f>'Assumptions'!C22</x:f>
        <x:v>285.7142857142857</x:v>
      </x:c>
      <x:c r="C6" s="42" t="n">
        <x:f>$A6*'API Prices'!$M$5</x:f>
        <x:v>85.71428571428571</x:v>
      </x:c>
      <x:c r="D6" s="42" t="n">
        <x:f>$A6*'API Prices'!$M$9</x:f>
        <x:v>31.428571428571427</x:v>
      </x:c>
      <x:c r="E6" s="42" t="n">
        <x:f>$A6*'API Prices'!$M$11</x:f>
        <x:v>34.285714285714285</x:v>
      </x:c>
      <x:c r="F6" s="42" t="n">
        <x:f>$A6*'API Prices'!$M$13</x:f>
        <x:v>25.71428571428571</x:v>
      </x:c>
      <x:c r="G6" s="42" t="n">
        <x:f>$A6*'API Prices'!$M$23</x:f>
        <x:v>4.9714285714285715</x:v>
      </x:c>
      <x:c r="H6" s="42" t="n">
        <x:f>$A6*'API Prices'!$M$17</x:f>
        <x:v>2.142857142857143</x:v>
      </x:c>
      <x:c r="I6" s="42" t="n">
        <x:f>IF($A6=0,0,ROUNDUP($A6/'Infra Model'!$X$5,0)*'Infra Model'!$U$5)</x:f>
        <x:v>46206.08</x:v>
      </x:c>
      <x:c r="J6" s="42" t="n">
        <x:f>IF($A6=0,0,ROUNDUP($A6/'Infra Model'!$X$10,0)*'Infra Model'!$U$10)</x:f>
        <x:v>25637.6</x:v>
      </x:c>
      <x:c r="K6" s="42" t="n">
        <x:f>IF($A6=0,0,ROUNDUP($A6/'Infra Model'!$X$11,0)*'Infra Model'!$U$11)</x:f>
        <x:v>26221.600000000002</x:v>
      </x:c>
      <x:c r="L6" s="42" t="n">
        <x:f>IF($A6=0,0,ROUNDUP($A6/'Infra Model'!$X$15,0)*'Infra Model'!$U$15)</x:f>
        <x:v>10487.716</x:v>
      </x:c>
      <x:c r="M6" s="42" t="n">
        <x:f>IF($A6=0,0,ROUNDUP($A6/'Infra Model'!$X$17,0)*'Infra Model'!$U$17)</x:f>
        <x:v>530.8027544</x:v>
      </x:c>
    </x:row>
    <x:row r="7">
      <x:c r="A7" s="38" t="n">
        <x:f>'Assumptions'!B23</x:f>
        <x:v>100</x:v>
      </x:c>
      <x:c r="B7" s="38" t="n">
        <x:f>'Assumptions'!C23</x:f>
        <x:v>2857.1428571428573</x:v>
      </x:c>
      <x:c r="C7" s="42" t="n">
        <x:f>$A7*'API Prices'!$M$5</x:f>
        <x:v>857.1428571428571</x:v>
      </x:c>
      <x:c r="D7" s="42" t="n">
        <x:f>$A7*'API Prices'!$M$9</x:f>
        <x:v>314.2857142857143</x:v>
      </x:c>
      <x:c r="E7" s="42" t="n">
        <x:f>$A7*'API Prices'!$M$11</x:f>
        <x:v>342.85714285714283</x:v>
      </x:c>
      <x:c r="F7" s="42" t="n">
        <x:f>$A7*'API Prices'!$M$13</x:f>
        <x:v>257.1428571428571</x:v>
      </x:c>
      <x:c r="G7" s="42" t="n">
        <x:f>$A7*'API Prices'!$M$23</x:f>
        <x:v>49.71428571428571</x:v>
      </x:c>
      <x:c r="H7" s="42" t="n">
        <x:f>$A7*'API Prices'!$M$17</x:f>
        <x:v>21.428571428571427</x:v>
      </x:c>
      <x:c r="I7" s="42" t="n">
        <x:f>IF($A7=0,0,ROUNDUP($A7/'Infra Model'!$X$5,0)*'Infra Model'!$U$5)</x:f>
        <x:v>46206.08</x:v>
      </x:c>
      <x:c r="J7" s="42" t="n">
        <x:f>IF($A7=0,0,ROUNDUP($A7/'Infra Model'!$X$10,0)*'Infra Model'!$U$10)</x:f>
        <x:v>25637.6</x:v>
      </x:c>
      <x:c r="K7" s="42" t="n">
        <x:f>IF($A7=0,0,ROUNDUP($A7/'Infra Model'!$X$11,0)*'Infra Model'!$U$11)</x:f>
        <x:v>26221.600000000002</x:v>
      </x:c>
      <x:c r="L7" s="42" t="n">
        <x:f>IF($A7=0,0,ROUNDUP($A7/'Infra Model'!$X$15,0)*'Infra Model'!$U$15)</x:f>
        <x:v>10487.716</x:v>
      </x:c>
      <x:c r="M7" s="42" t="n">
        <x:f>IF($A7=0,0,ROUNDUP($A7/'Infra Model'!$X$17,0)*'Infra Model'!$U$17)</x:f>
        <x:v>530.8027544</x:v>
      </x:c>
    </x:row>
    <x:row r="8">
      <x:c r="A8" s="38" t="n">
        <x:f>'Assumptions'!B24</x:f>
        <x:v>1000</x:v>
      </x:c>
      <x:c r="B8" s="38" t="n">
        <x:f>'Assumptions'!C24</x:f>
        <x:v>28571.428571428572</x:v>
      </x:c>
      <x:c r="C8" s="42" t="n">
        <x:f>$A8*'API Prices'!$M$5</x:f>
        <x:v>8571.42857142857</x:v>
      </x:c>
      <x:c r="D8" s="42" t="n">
        <x:f>$A8*'API Prices'!$M$9</x:f>
        <x:v>3142.8571428571427</x:v>
      </x:c>
      <x:c r="E8" s="42" t="n">
        <x:f>$A8*'API Prices'!$M$11</x:f>
        <x:v>3428.5714285714284</x:v>
      </x:c>
      <x:c r="F8" s="42" t="n">
        <x:f>$A8*'API Prices'!$M$13</x:f>
        <x:v>2571.428571428571</x:v>
      </x:c>
      <x:c r="G8" s="42" t="n">
        <x:f>$A8*'API Prices'!$M$23</x:f>
        <x:v>497.1428571428571</x:v>
      </x:c>
      <x:c r="H8" s="42" t="n">
        <x:f>$A8*'API Prices'!$M$17</x:f>
        <x:v>214.28571428571428</x:v>
      </x:c>
      <x:c r="I8" s="42" t="n">
        <x:f>IF($A8=0,0,ROUNDUP($A8/'Infra Model'!$X$5,0)*'Infra Model'!$U$5)</x:f>
        <x:v>46206.08</x:v>
      </x:c>
      <x:c r="J8" s="42" t="n">
        <x:f>IF($A8=0,0,ROUNDUP($A8/'Infra Model'!$X$10,0)*'Infra Model'!$U$10)</x:f>
        <x:v>25637.6</x:v>
      </x:c>
      <x:c r="K8" s="42" t="n">
        <x:f>IF($A8=0,0,ROUNDUP($A8/'Infra Model'!$X$11,0)*'Infra Model'!$U$11)</x:f>
        <x:v>26221.600000000002</x:v>
      </x:c>
      <x:c r="L8" s="42" t="n">
        <x:f>IF($A8=0,0,ROUNDUP($A8/'Infra Model'!$X$15,0)*'Infra Model'!$U$15)</x:f>
        <x:v>10487.716</x:v>
      </x:c>
      <x:c r="M8" s="42" t="n">
        <x:f>IF($A8=0,0,ROUNDUP($A8/'Infra Model'!$X$17,0)*'Infra Model'!$U$17)</x:f>
        <x:v>530.8027544</x:v>
      </x:c>
    </x:row>
    <x:row r="9">
      <x:c r="A9" s="38" t="n">
        <x:f>'Assumptions'!B25</x:f>
        <x:v>3000</x:v>
      </x:c>
      <x:c r="B9" s="38" t="n">
        <x:f>'Assumptions'!C25</x:f>
        <x:v>85714.28571428571</x:v>
      </x:c>
      <x:c r="C9" s="42" t="n">
        <x:f>$A9*'API Prices'!$M$5</x:f>
        <x:v>25714.285714285714</x:v>
      </x:c>
      <x:c r="D9" s="42" t="n">
        <x:f>$A9*'API Prices'!$M$9</x:f>
        <x:v>9428.571428571428</x:v>
      </x:c>
      <x:c r="E9" s="42" t="n">
        <x:f>$A9*'API Prices'!$M$11</x:f>
        <x:v>10285.714285714284</x:v>
      </x:c>
      <x:c r="F9" s="42" t="n">
        <x:f>$A9*'API Prices'!$M$13</x:f>
        <x:v>7714.285714285714</x:v>
      </x:c>
      <x:c r="G9" s="42" t="n">
        <x:f>$A9*'API Prices'!$M$23</x:f>
        <x:v>1491.4285714285713</x:v>
      </x:c>
      <x:c r="H9" s="42" t="n">
        <x:f>$A9*'API Prices'!$M$17</x:f>
        <x:v>642.8571428571428</x:v>
      </x:c>
      <x:c r="I9" s="42" t="n">
        <x:f>IF($A9=0,0,ROUNDUP($A9/'Infra Model'!$X$5,0)*'Infra Model'!$U$5)</x:f>
        <x:v>46206.08</x:v>
      </x:c>
      <x:c r="J9" s="42" t="n">
        <x:f>IF($A9=0,0,ROUNDUP($A9/'Infra Model'!$X$10,0)*'Infra Model'!$U$10)</x:f>
        <x:v>25637.6</x:v>
      </x:c>
      <x:c r="K9" s="42" t="n">
        <x:f>IF($A9=0,0,ROUNDUP($A9/'Infra Model'!$X$11,0)*'Infra Model'!$U$11)</x:f>
        <x:v>26221.600000000002</x:v>
      </x:c>
      <x:c r="L9" s="42" t="n">
        <x:f>IF($A9=0,0,ROUNDUP($A9/'Infra Model'!$X$15,0)*'Infra Model'!$U$15)</x:f>
        <x:v>10487.716</x:v>
      </x:c>
      <x:c r="M9" s="42" t="n">
        <x:f>IF($A9=0,0,ROUNDUP($A9/'Infra Model'!$X$17,0)*'Infra Model'!$U$17)</x:f>
        <x:v>530.8027544</x:v>
      </x:c>
    </x:row>
    <x:row r="10">
      <x:c r="A10" s="38" t="n">
        <x:f>'Assumptions'!B26</x:f>
        <x:v>10000</x:v>
      </x:c>
      <x:c r="B10" s="38" t="n">
        <x:f>'Assumptions'!C26</x:f>
        <x:v>285714.28571428574</x:v>
      </x:c>
      <x:c r="C10" s="42" t="n">
        <x:f>$A10*'API Prices'!$M$5</x:f>
        <x:v>85714.28571428571</x:v>
      </x:c>
      <x:c r="D10" s="42" t="n">
        <x:f>$A10*'API Prices'!$M$9</x:f>
        <x:v>31428.571428571428</x:v>
      </x:c>
      <x:c r="E10" s="42" t="n">
        <x:f>$A10*'API Prices'!$M$11</x:f>
        <x:v>34285.71428571428</x:v>
      </x:c>
      <x:c r="F10" s="42" t="n">
        <x:f>$A10*'API Prices'!$M$13</x:f>
        <x:v>25714.28571428571</x:v>
      </x:c>
      <x:c r="G10" s="42" t="n">
        <x:f>$A10*'API Prices'!$M$23</x:f>
        <x:v>4971.428571428571</x:v>
      </x:c>
      <x:c r="H10" s="42" t="n">
        <x:f>$A10*'API Prices'!$M$17</x:f>
        <x:v>2142.8571428571427</x:v>
      </x:c>
      <x:c r="I10" s="42" t="n">
        <x:f>IF($A10=0,0,ROUNDUP($A10/'Infra Model'!$X$5,0)*'Infra Model'!$U$5)</x:f>
        <x:v>46206.08</x:v>
      </x:c>
      <x:c r="J10" s="42" t="n">
        <x:f>IF($A10=0,0,ROUNDUP($A10/'Infra Model'!$X$10,0)*'Infra Model'!$U$10)</x:f>
        <x:v>25637.6</x:v>
      </x:c>
      <x:c r="K10" s="42" t="n">
        <x:f>IF($A10=0,0,ROUNDUP($A10/'Infra Model'!$X$11,0)*'Infra Model'!$U$11)</x:f>
        <x:v>26221.600000000002</x:v>
      </x:c>
      <x:c r="L10" s="42" t="n">
        <x:f>IF($A10=0,0,ROUNDUP($A10/'Infra Model'!$X$15,0)*'Infra Model'!$U$15)</x:f>
        <x:v>10487.716</x:v>
      </x:c>
      <x:c r="M10" s="42" t="n">
        <x:f>IF($A10=0,0,ROUNDUP($A10/'Infra Model'!$X$17,0)*'Infra Model'!$U$17)</x:f>
        <x:v>1592.4082632</x:v>
      </x:c>
    </x:row>
    <x:row r="11">
      <x:c r="A11" s="38" t="n">
        <x:f>'Assumptions'!B27</x:f>
        <x:v>30000</x:v>
      </x:c>
      <x:c r="B11" s="38" t="n">
        <x:f>'Assumptions'!C27</x:f>
        <x:v>857142.8571428572</x:v>
      </x:c>
      <x:c r="C11" s="42" t="n">
        <x:f>$A11*'API Prices'!$M$5</x:f>
        <x:v>257142.85714285713</x:v>
      </x:c>
      <x:c r="D11" s="42" t="n">
        <x:f>$A11*'API Prices'!$M$9</x:f>
        <x:v>94285.71428571429</x:v>
      </x:c>
      <x:c r="E11" s="42" t="n">
        <x:f>$A11*'API Prices'!$M$11</x:f>
        <x:v>102857.14285714286</x:v>
      </x:c>
      <x:c r="F11" s="42" t="n">
        <x:f>$A11*'API Prices'!$M$13</x:f>
        <x:v>77142.85714285713</x:v>
      </x:c>
      <x:c r="G11" s="42" t="n">
        <x:f>$A11*'API Prices'!$M$23</x:f>
        <x:v>14914.285714285714</x:v>
      </x:c>
      <x:c r="H11" s="42" t="n">
        <x:f>$A11*'API Prices'!$M$17</x:f>
        <x:v>6428.571428571428</x:v>
      </x:c>
      <x:c r="I11" s="42" t="n">
        <x:f>IF($A11=0,0,ROUNDUP($A11/'Infra Model'!$X$5,0)*'Infra Model'!$U$5)</x:f>
        <x:v>138618.24</x:v>
      </x:c>
      <x:c r="J11" s="42" t="n">
        <x:f>IF($A11=0,0,ROUNDUP($A11/'Infra Model'!$X$10,0)*'Infra Model'!$U$10)</x:f>
        <x:v>76912.79999999999</x:v>
      </x:c>
      <x:c r="K11" s="42" t="n">
        <x:f>IF($A11=0,0,ROUNDUP($A11/'Infra Model'!$X$11,0)*'Infra Model'!$U$11)</x:f>
        <x:v>78664.8</x:v>
      </x:c>
      <x:c r="L11" s="42" t="n">
        <x:f>IF($A11=0,0,ROUNDUP($A11/'Infra Model'!$X$15,0)*'Infra Model'!$U$15)</x:f>
        <x:v>31463.148</x:v>
      </x:c>
      <x:c r="M11" s="42" t="n">
        <x:f>IF($A11=0,0,ROUNDUP($A11/'Infra Model'!$X$17,0)*'Infra Model'!$U$17)</x:f>
        <x:v>3715.6192808</x:v>
      </x:c>
    </x:row>
    <x:row r="12">
      <x:c r="A12" s="38" t="n">
        <x:f>'Assumptions'!B28</x:f>
        <x:v>100000</x:v>
      </x:c>
      <x:c r="B12" s="38" t="n">
        <x:f>'Assumptions'!C28</x:f>
        <x:v>2857142.8571428573</x:v>
      </x:c>
      <x:c r="C12" s="42" t="n">
        <x:f>$A12*'API Prices'!$M$5</x:f>
        <x:v>857142.8571428572</x:v>
      </x:c>
      <x:c r="D12" s="42" t="n">
        <x:f>$A12*'API Prices'!$M$9</x:f>
        <x:v>314285.71428571426</x:v>
      </x:c>
      <x:c r="E12" s="42" t="n">
        <x:f>$A12*'API Prices'!$M$11</x:f>
        <x:v>342857.14285714284</x:v>
      </x:c>
      <x:c r="F12" s="42" t="n">
        <x:f>$A12*'API Prices'!$M$13</x:f>
        <x:v>257142.85714285713</x:v>
      </x:c>
      <x:c r="G12" s="42" t="n">
        <x:f>$A12*'API Prices'!$M$23</x:f>
        <x:v>49714.28571428571</x:v>
      </x:c>
      <x:c r="H12" s="42" t="n">
        <x:f>$A12*'API Prices'!$M$17</x:f>
        <x:v>21428.571428571428</x:v>
      </x:c>
      <x:c r="I12" s="42" t="n">
        <x:f>IF($A12=0,0,ROUNDUP($A12/'Infra Model'!$X$5,0)*'Infra Model'!$U$5)</x:f>
        <x:v>415854.72000000003</x:v>
      </x:c>
      <x:c r="J12" s="42" t="n">
        <x:f>IF($A12=0,0,ROUNDUP($A12/'Infra Model'!$X$10,0)*'Infra Model'!$U$10)</x:f>
        <x:v>230738.4</x:v>
      </x:c>
      <x:c r="K12" s="42" t="n">
        <x:f>IF($A12=0,0,ROUNDUP($A12/'Infra Model'!$X$11,0)*'Infra Model'!$U$11)</x:f>
        <x:v>235994.40000000002</x:v>
      </x:c>
      <x:c r="L12" s="42" t="n">
        <x:f>IF($A12=0,0,ROUNDUP($A12/'Infra Model'!$X$15,0)*'Infra Model'!$U$15)</x:f>
        <x:v>94389.444</x:v>
      </x:c>
      <x:c r="M12" s="42" t="n">
        <x:f>IF($A12=0,0,ROUNDUP($A12/'Infra Model'!$X$17,0)*'Infra Model'!$U$17)</x:f>
        <x:v>12208.4633512</x:v>
      </x:c>
    </x:row>
    <x:row r="13">
      <x:c r="A13" s="38" t="n">
        <x:f>'Assumptions'!B29</x:f>
        <x:v>300000</x:v>
      </x:c>
      <x:c r="B13" s="38" t="n">
        <x:f>'Assumptions'!C29</x:f>
        <x:v>8571428.57142857</x:v>
      </x:c>
      <x:c r="C13" s="42" t="n">
        <x:f>$A13*'API Prices'!$M$5</x:f>
        <x:v>2571428.5714285714</x:v>
      </x:c>
      <x:c r="D13" s="42" t="n">
        <x:f>$A13*'API Prices'!$M$9</x:f>
        <x:v>942857.1428571428</x:v>
      </x:c>
      <x:c r="E13" s="42" t="n">
        <x:f>$A13*'API Prices'!$M$11</x:f>
        <x:v>1028571.4285714285</x:v>
      </x:c>
      <x:c r="F13" s="42" t="n">
        <x:f>$A13*'API Prices'!$M$13</x:f>
        <x:v>771428.5714285714</x:v>
      </x:c>
      <x:c r="G13" s="42" t="n">
        <x:f>$A13*'API Prices'!$M$23</x:f>
        <x:v>149142.85714285713</x:v>
      </x:c>
      <x:c r="H13" s="42" t="n">
        <x:f>$A13*'API Prices'!$M$17</x:f>
        <x:v>64285.71428571428</x:v>
      </x:c>
      <x:c r="I13" s="42" t="n">
        <x:f>IF($A13=0,0,ROUNDUP($A13/'Infra Model'!$X$5,0)*'Infra Model'!$U$5)</x:f>
        <x:v>1155152</x:v>
      </x:c>
      <x:c r="J13" s="42" t="n">
        <x:f>IF($A13=0,0,ROUNDUP($A13/'Infra Model'!$X$10,0)*'Infra Model'!$U$10)</x:f>
        <x:v>640940</x:v>
      </x:c>
      <x:c r="K13" s="42" t="n">
        <x:f>IF($A13=0,0,ROUNDUP($A13/'Infra Model'!$X$11,0)*'Infra Model'!$U$11)</x:f>
        <x:v>655540</x:v>
      </x:c>
      <x:c r="L13" s="42" t="n">
        <x:f>IF($A13=0,0,ROUNDUP($A13/'Infra Model'!$X$15,0)*'Infra Model'!$U$15)</x:f>
        <x:v>262192.9</x:v>
      </x:c>
      <x:c r="M13" s="42" t="n">
        <x:f>IF($A13=0,0,ROUNDUP($A13/'Infra Model'!$X$17,0)*'Infra Model'!$U$17)</x:f>
        <x:v>35563.7845448</x:v>
      </x:c>
    </x:row>
    <x:row r="16" ht="34" customHeight="1">
      <x:c r="A16" s="35" t="str">
        <x:v>Monthly total tokens (M)</x:v>
      </x:c>
      <x:c r="B16" s="36" t="str">
        <x:v>Equivalent coding requests</x:v>
      </x:c>
      <x:c r="C16" s="36" t="str">
        <x:v>GPT-5.6 Sol — published</x:v>
      </x:c>
      <x:c r="D16" s="36" t="str">
        <x:v>Claude Sonnet 5 — published intro</x:v>
      </x:c>
      <x:c r="E16" s="36" t="str">
        <x:v>Gemini 3.1 Pro — published</x:v>
      </x:c>
      <x:c r="F16" s="36" t="str">
        <x:v>Grok 4.5 — published</x:v>
      </x:c>
      <x:c r="G16" s="36" t="str">
        <x:v>DeepSeek V4 Pro direct — published</x:v>
      </x:c>
      <x:c r="H16" s="36" t="str">
        <x:v>Groq GPT-OSS 120B — published</x:v>
      </x:c>
      <x:c r="I16" s="36" t="str">
        <x:v>AWS 8xH200 — estimated</x:v>
      </x:c>
      <x:c r="J16" s="36" t="str">
        <x:v>Runpod 8xH200 — estimated</x:v>
      </x:c>
      <x:c r="K16" s="36" t="str">
        <x:v>Akash 8xH200 — live+estimated</x:v>
      </x:c>
      <x:c r="L16" s="36" t="str">
        <x:v>Owned colo 8xH200 — estimated</x:v>
      </x:c>
      <x:c r="M16" s="37" t="str">
        <x:v>Local RTX PRO 6000 — estimated</x:v>
      </x:c>
    </x:row>
    <x:row r="17">
      <x:c r="A17" s="38" t="n">
        <x:f>A5</x:f>
        <x:v>1</x:v>
      </x:c>
      <x:c r="B17" s="38" t="n">
        <x:f>B5</x:f>
        <x:v>28.571428571428573</x:v>
      </x:c>
      <x:c r="C17" s="40" t="n">
        <x:f>C5/$A17</x:f>
        <x:v>8.571428571428571</x:v>
      </x:c>
      <x:c r="D17" s="40" t="n">
        <x:f>D5/$A17</x:f>
        <x:v>3.142857142857143</x:v>
      </x:c>
      <x:c r="E17" s="40" t="n">
        <x:f>E5/$A17</x:f>
        <x:v>3.4285714285714284</x:v>
      </x:c>
      <x:c r="F17" s="40" t="n">
        <x:f>F5/$A17</x:f>
        <x:v>2.571428571428571</x:v>
      </x:c>
      <x:c r="G17" s="40" t="n">
        <x:f>G5/$A17</x:f>
        <x:v>0.4971428571428571</x:v>
      </x:c>
      <x:c r="H17" s="40" t="n">
        <x:f>H5/$A17</x:f>
        <x:v>0.21428571428571427</x:v>
      </x:c>
      <x:c r="I17" s="40" t="n">
        <x:f>I5/$A17</x:f>
        <x:v>46206.08</x:v>
      </x:c>
      <x:c r="J17" s="40" t="n">
        <x:f>J5/$A17</x:f>
        <x:v>25637.6</x:v>
      </x:c>
      <x:c r="K17" s="40" t="n">
        <x:f>K5/$A17</x:f>
        <x:v>26221.600000000002</x:v>
      </x:c>
      <x:c r="L17" s="40" t="n">
        <x:f>L5/$A17</x:f>
        <x:v>10487.716</x:v>
      </x:c>
      <x:c r="M17" s="40" t="n">
        <x:f>M5/$A17</x:f>
        <x:v>530.8027544</x:v>
      </x:c>
    </x:row>
    <x:row r="18">
      <x:c r="A18" s="38" t="n">
        <x:f>A6</x:f>
        <x:v>10</x:v>
      </x:c>
      <x:c r="B18" s="38" t="n">
        <x:f>B6</x:f>
        <x:v>285.7142857142857</x:v>
      </x:c>
      <x:c r="C18" s="40" t="n">
        <x:f>C6/$A18</x:f>
        <x:v>8.571428571428571</x:v>
      </x:c>
      <x:c r="D18" s="40" t="n">
        <x:f>D6/$A18</x:f>
        <x:v>3.142857142857143</x:v>
      </x:c>
      <x:c r="E18" s="40" t="n">
        <x:f>E6/$A18</x:f>
        <x:v>3.4285714285714284</x:v>
      </x:c>
      <x:c r="F18" s="40" t="n">
        <x:f>F6/$A18</x:f>
        <x:v>2.571428571428571</x:v>
      </x:c>
      <x:c r="G18" s="40" t="n">
        <x:f>G6/$A18</x:f>
        <x:v>0.49714285714285716</x:v>
      </x:c>
      <x:c r="H18" s="40" t="n">
        <x:f>H6/$A18</x:f>
        <x:v>0.21428571428571427</x:v>
      </x:c>
      <x:c r="I18" s="40" t="n">
        <x:f>I6/$A18</x:f>
        <x:v>4620.608</x:v>
      </x:c>
      <x:c r="J18" s="40" t="n">
        <x:f>J6/$A18</x:f>
        <x:v>2563.7599999999998</x:v>
      </x:c>
      <x:c r="K18" s="40" t="n">
        <x:f>K6/$A18</x:f>
        <x:v>2622.1600000000003</x:v>
      </x:c>
      <x:c r="L18" s="40" t="n">
        <x:f>L6/$A18</x:f>
        <x:v>1048.7716</x:v>
      </x:c>
      <x:c r="M18" s="40" t="n">
        <x:f>M6/$A18</x:f>
        <x:v>53.08027544</x:v>
      </x:c>
    </x:row>
    <x:row r="19">
      <x:c r="A19" s="38" t="n">
        <x:f>A7</x:f>
        <x:v>100</x:v>
      </x:c>
      <x:c r="B19" s="38" t="n">
        <x:f>B7</x:f>
        <x:v>2857.1428571428573</x:v>
      </x:c>
      <x:c r="C19" s="40" t="n">
        <x:f>C7/$A19</x:f>
        <x:v>8.571428571428571</x:v>
      </x:c>
      <x:c r="D19" s="40" t="n">
        <x:f>D7/$A19</x:f>
        <x:v>3.142857142857143</x:v>
      </x:c>
      <x:c r="E19" s="40" t="n">
        <x:f>E7/$A19</x:f>
        <x:v>3.4285714285714284</x:v>
      </x:c>
      <x:c r="F19" s="40" t="n">
        <x:f>F7/$A19</x:f>
        <x:v>2.571428571428571</x:v>
      </x:c>
      <x:c r="G19" s="40" t="n">
        <x:f>G7/$A19</x:f>
        <x:v>0.4971428571428571</x:v>
      </x:c>
      <x:c r="H19" s="40" t="n">
        <x:f>H7/$A19</x:f>
        <x:v>0.21428571428571427</x:v>
      </x:c>
      <x:c r="I19" s="40" t="n">
        <x:f>I7/$A19</x:f>
        <x:v>462.06080000000003</x:v>
      </x:c>
      <x:c r="J19" s="40" t="n">
        <x:f>J7/$A19</x:f>
        <x:v>256.376</x:v>
      </x:c>
      <x:c r="K19" s="40" t="n">
        <x:f>K7/$A19</x:f>
        <x:v>262.216</x:v>
      </x:c>
      <x:c r="L19" s="40" t="n">
        <x:f>L7/$A19</x:f>
        <x:v>104.87716</x:v>
      </x:c>
      <x:c r="M19" s="40" t="n">
        <x:f>M7/$A19</x:f>
        <x:v>5.308027544000001</x:v>
      </x:c>
    </x:row>
    <x:row r="20">
      <x:c r="A20" s="38" t="n">
        <x:f>A8</x:f>
        <x:v>1000</x:v>
      </x:c>
      <x:c r="B20" s="38" t="n">
        <x:f>B8</x:f>
        <x:v>28571.428571428572</x:v>
      </x:c>
      <x:c r="C20" s="40" t="n">
        <x:f>C8/$A20</x:f>
        <x:v>8.571428571428571</x:v>
      </x:c>
      <x:c r="D20" s="40" t="n">
        <x:f>D8/$A20</x:f>
        <x:v>3.142857142857143</x:v>
      </x:c>
      <x:c r="E20" s="40" t="n">
        <x:f>E8/$A20</x:f>
        <x:v>3.4285714285714284</x:v>
      </x:c>
      <x:c r="F20" s="40" t="n">
        <x:f>F8/$A20</x:f>
        <x:v>2.571428571428571</x:v>
      </x:c>
      <x:c r="G20" s="40" t="n">
        <x:f>G8/$A20</x:f>
        <x:v>0.4971428571428571</x:v>
      </x:c>
      <x:c r="H20" s="40" t="n">
        <x:f>H8/$A20</x:f>
        <x:v>0.21428571428571427</x:v>
      </x:c>
      <x:c r="I20" s="40" t="n">
        <x:f>I8/$A20</x:f>
        <x:v>46.20608</x:v>
      </x:c>
      <x:c r="J20" s="40" t="n">
        <x:f>J8/$A20</x:f>
        <x:v>25.6376</x:v>
      </x:c>
      <x:c r="K20" s="40" t="n">
        <x:f>K8/$A20</x:f>
        <x:v>26.221600000000002</x:v>
      </x:c>
      <x:c r="L20" s="40" t="n">
        <x:f>L8/$A20</x:f>
        <x:v>10.487716</x:v>
      </x:c>
      <x:c r="M20" s="40" t="n">
        <x:f>M8/$A20</x:f>
        <x:v>0.5308027544</x:v>
      </x:c>
    </x:row>
    <x:row r="21">
      <x:c r="A21" s="38" t="n">
        <x:f>A9</x:f>
        <x:v>3000</x:v>
      </x:c>
      <x:c r="B21" s="38" t="n">
        <x:f>B9</x:f>
        <x:v>85714.28571428571</x:v>
      </x:c>
      <x:c r="C21" s="40" t="n">
        <x:f>C9/$A21</x:f>
        <x:v>8.571428571428571</x:v>
      </x:c>
      <x:c r="D21" s="40" t="n">
        <x:f>D9/$A21</x:f>
        <x:v>3.1428571428571423</x:v>
      </x:c>
      <x:c r="E21" s="40" t="n">
        <x:f>E9/$A21</x:f>
        <x:v>3.428571428571428</x:v>
      </x:c>
      <x:c r="F21" s="40" t="n">
        <x:f>F9/$A21</x:f>
        <x:v>2.571428571428571</x:v>
      </x:c>
      <x:c r="G21" s="40" t="n">
        <x:f>G9/$A21</x:f>
        <x:v>0.4971428571428571</x:v>
      </x:c>
      <x:c r="H21" s="40" t="n">
        <x:f>H9/$A21</x:f>
        <x:v>0.21428571428571425</x:v>
      </x:c>
      <x:c r="I21" s="40" t="n">
        <x:f>I9/$A21</x:f>
        <x:v>15.402026666666668</x:v>
      </x:c>
      <x:c r="J21" s="40" t="n">
        <x:f>J9/$A21</x:f>
        <x:v>8.545866666666667</x:v>
      </x:c>
      <x:c r="K21" s="40" t="n">
        <x:f>K9/$A21</x:f>
        <x:v>8.740533333333333</x:v>
      </x:c>
      <x:c r="L21" s="40" t="n">
        <x:f>L9/$A21</x:f>
        <x:v>3.4959053333333334</x:v>
      </x:c>
      <x:c r="M21" s="40" t="n">
        <x:f>M9/$A21</x:f>
        <x:v>0.17693425146666666</x:v>
      </x:c>
    </x:row>
    <x:row r="22">
      <x:c r="A22" s="38" t="n">
        <x:f>A10</x:f>
        <x:v>10000</x:v>
      </x:c>
      <x:c r="B22" s="38" t="n">
        <x:f>B10</x:f>
        <x:v>285714.28571428574</x:v>
      </x:c>
      <x:c r="C22" s="40" t="n">
        <x:f>C10/$A22</x:f>
        <x:v>8.571428571428571</x:v>
      </x:c>
      <x:c r="D22" s="40" t="n">
        <x:f>D10/$A22</x:f>
        <x:v>3.142857142857143</x:v>
      </x:c>
      <x:c r="E22" s="40" t="n">
        <x:f>E10/$A22</x:f>
        <x:v>3.4285714285714284</x:v>
      </x:c>
      <x:c r="F22" s="40" t="n">
        <x:f>F10/$A22</x:f>
        <x:v>2.571428571428571</x:v>
      </x:c>
      <x:c r="G22" s="40" t="n">
        <x:f>G10/$A22</x:f>
        <x:v>0.49714285714285705</x:v>
      </x:c>
      <x:c r="H22" s="40" t="n">
        <x:f>H10/$A22</x:f>
        <x:v>0.21428571428571427</x:v>
      </x:c>
      <x:c r="I22" s="40" t="n">
        <x:f>I10/$A22</x:f>
        <x:v>4.620608</x:v>
      </x:c>
      <x:c r="J22" s="40" t="n">
        <x:f>J10/$A22</x:f>
        <x:v>2.56376</x:v>
      </x:c>
      <x:c r="K22" s="40" t="n">
        <x:f>K10/$A22</x:f>
        <x:v>2.62216</x:v>
      </x:c>
      <x:c r="L22" s="40" t="n">
        <x:f>L10/$A22</x:f>
        <x:v>1.0487716</x:v>
      </x:c>
      <x:c r="M22" s="40" t="n">
        <x:f>M10/$A22</x:f>
        <x:v>0.15924082632</x:v>
      </x:c>
    </x:row>
    <x:row r="23">
      <x:c r="A23" s="38" t="n">
        <x:f>A11</x:f>
        <x:v>30000</x:v>
      </x:c>
      <x:c r="B23" s="38" t="n">
        <x:f>B11</x:f>
        <x:v>857142.8571428572</x:v>
      </x:c>
      <x:c r="C23" s="40" t="n">
        <x:f>C11/$A23</x:f>
        <x:v>8.571428571428571</x:v>
      </x:c>
      <x:c r="D23" s="40" t="n">
        <x:f>D11/$A23</x:f>
        <x:v>3.142857142857143</x:v>
      </x:c>
      <x:c r="E23" s="40" t="n">
        <x:f>E11/$A23</x:f>
        <x:v>3.4285714285714284</x:v>
      </x:c>
      <x:c r="F23" s="40" t="n">
        <x:f>F11/$A23</x:f>
        <x:v>2.571428571428571</x:v>
      </x:c>
      <x:c r="G23" s="40" t="n">
        <x:f>G11/$A23</x:f>
        <x:v>0.4971428571428571</x:v>
      </x:c>
      <x:c r="H23" s="40" t="n">
        <x:f>H11/$A23</x:f>
        <x:v>0.21428571428571427</x:v>
      </x:c>
      <x:c r="I23" s="40" t="n">
        <x:f>I11/$A23</x:f>
        <x:v>4.620608</x:v>
      </x:c>
      <x:c r="J23" s="40" t="n">
        <x:f>J11/$A23</x:f>
        <x:v>2.56376</x:v>
      </x:c>
      <x:c r="K23" s="40" t="n">
        <x:f>K11/$A23</x:f>
        <x:v>2.62216</x:v>
      </x:c>
      <x:c r="L23" s="40" t="n">
        <x:f>L11/$A23</x:f>
        <x:v>1.0487716</x:v>
      </x:c>
      <x:c r="M23" s="40" t="n">
        <x:f>M11/$A23</x:f>
        <x:v>0.12385397602666667</x:v>
      </x:c>
    </x:row>
    <x:row r="24">
      <x:c r="A24" s="38" t="n">
        <x:f>A12</x:f>
        <x:v>100000</x:v>
      </x:c>
      <x:c r="B24" s="38" t="n">
        <x:f>B12</x:f>
        <x:v>2857142.8571428573</x:v>
      </x:c>
      <x:c r="C24" s="40" t="n">
        <x:f>C12/$A24</x:f>
        <x:v>8.571428571428571</x:v>
      </x:c>
      <x:c r="D24" s="40" t="n">
        <x:f>D12/$A24</x:f>
        <x:v>3.142857142857143</x:v>
      </x:c>
      <x:c r="E24" s="40" t="n">
        <x:f>E12/$A24</x:f>
        <x:v>3.4285714285714284</x:v>
      </x:c>
      <x:c r="F24" s="40" t="n">
        <x:f>F12/$A24</x:f>
        <x:v>2.571428571428571</x:v>
      </x:c>
      <x:c r="G24" s="40" t="n">
        <x:f>G12/$A24</x:f>
        <x:v>0.4971428571428571</x:v>
      </x:c>
      <x:c r="H24" s="40" t="n">
        <x:f>H12/$A24</x:f>
        <x:v>0.21428571428571427</x:v>
      </x:c>
      <x:c r="I24" s="40" t="n">
        <x:f>I12/$A24</x:f>
        <x:v>4.1585472</x:v>
      </x:c>
      <x:c r="J24" s="40" t="n">
        <x:f>J12/$A24</x:f>
        <x:v>2.307384</x:v>
      </x:c>
      <x:c r="K24" s="40" t="n">
        <x:f>K12/$A24</x:f>
        <x:v>2.359944</x:v>
      </x:c>
      <x:c r="L24" s="40" t="n">
        <x:f>L12/$A24</x:f>
        <x:v>0.94389444</x:v>
      </x:c>
      <x:c r="M24" s="40" t="n">
        <x:f>M12/$A24</x:f>
        <x:v>0.122084633512</x:v>
      </x:c>
    </x:row>
    <x:row r="25">
      <x:c r="A25" s="38" t="n">
        <x:f>A13</x:f>
        <x:v>300000</x:v>
      </x:c>
      <x:c r="B25" s="38" t="n">
        <x:f>B13</x:f>
        <x:v>8571428.57142857</x:v>
      </x:c>
      <x:c r="C25" s="40" t="n">
        <x:f>C13/$A25</x:f>
        <x:v>8.571428571428571</x:v>
      </x:c>
      <x:c r="D25" s="40" t="n">
        <x:f>D13/$A25</x:f>
        <x:v>3.142857142857143</x:v>
      </x:c>
      <x:c r="E25" s="40" t="n">
        <x:f>E13/$A25</x:f>
        <x:v>3.4285714285714284</x:v>
      </x:c>
      <x:c r="F25" s="40" t="n">
        <x:f>F13/$A25</x:f>
        <x:v>2.571428571428571</x:v>
      </x:c>
      <x:c r="G25" s="40" t="n">
        <x:f>G13/$A25</x:f>
        <x:v>0.4971428571428571</x:v>
      </x:c>
      <x:c r="H25" s="40" t="n">
        <x:f>H13/$A25</x:f>
        <x:v>0.21428571428571427</x:v>
      </x:c>
      <x:c r="I25" s="40" t="n">
        <x:f>I13/$A25</x:f>
        <x:v>3.8505066666666665</x:v>
      </x:c>
      <x:c r="J25" s="40" t="n">
        <x:f>J13/$A25</x:f>
        <x:v>2.1364666666666667</x:v>
      </x:c>
      <x:c r="K25" s="40" t="n">
        <x:f>K13/$A25</x:f>
        <x:v>2.1851333333333334</x:v>
      </x:c>
      <x:c r="L25" s="40" t="n">
        <x:f>L13/$A25</x:f>
        <x:v>0.8739763333333335</x:v>
      </x:c>
      <x:c r="M25" s="40" t="n">
        <x:f>M13/$A25</x:f>
        <x:v>0.11854594848266667</x:v>
      </x:c>
    </x:row>
    <x:row r="28" ht="34" customHeight="1">
      <x:c r="A28" s="35" t="str">
        <x:v>36-month total tokens (M)</x:v>
      </x:c>
      <x:c r="B28" s="36" t="str">
        <x:v>Avg monthly coding requests</x:v>
      </x:c>
      <x:c r="C28" s="36" t="str">
        <x:v>GPT-5.6 Sol — published</x:v>
      </x:c>
      <x:c r="D28" s="36" t="str">
        <x:v>Claude Sonnet 5 — published intro</x:v>
      </x:c>
      <x:c r="E28" s="36" t="str">
        <x:v>Gemini 3.1 Pro — published</x:v>
      </x:c>
      <x:c r="F28" s="36" t="str">
        <x:v>DeepSeek V4 Pro direct — published</x:v>
      </x:c>
      <x:c r="G28" s="36" t="str">
        <x:v>Owned colo 8xH200 — estimated</x:v>
      </x:c>
      <x:c r="H28" s="37" t="str">
        <x:v>Local RTX PRO 6000 — estimated</x:v>
      </x:c>
    </x:row>
    <x:row r="29">
      <x:c r="A29" s="38" t="n">
        <x:f>'Assumptions'!B21*'Assumptions'!$B$18</x:f>
        <x:v>36</x:v>
      </x:c>
      <x:c r="B29" s="38" t="n">
        <x:f>'Assumptions'!C21</x:f>
        <x:v>28.571428571428573</x:v>
      </x:c>
      <x:c r="C29" s="42" t="n">
        <x:f>'Assumptions'!B21*'Assumptions'!$B$18*'API Prices'!$M$5</x:f>
        <x:v>308.57142857142856</x:v>
      </x:c>
      <x:c r="D29" s="42" t="n">
        <x:f>'Assumptions'!B21*'Assumptions'!$B$18*'API Prices'!$M$9</x:f>
        <x:v>113.14285714285714</x:v>
      </x:c>
      <x:c r="E29" s="42" t="n">
        <x:f>'Assumptions'!B21*'Assumptions'!$B$18*'API Prices'!$M$11</x:f>
        <x:v>123.42857142857142</x:v>
      </x:c>
      <x:c r="F29" s="42" t="n">
        <x:f>'Assumptions'!B21*'Assumptions'!$B$18*'API Prices'!$M$23</x:f>
        <x:v>17.897142857142857</x:v>
      </x:c>
      <x:c r="G29" s="42" t="n">
        <x:f>ROUNDUP('Assumptions'!B21/'Infra Model'!$X$15,0)*('Infra Model'!$K$15+'Assumptions'!$B$18*('Infra Model'!$R$15+'Infra Model'!$S$15+'Infra Model'!$T$15))</x:f>
        <x:v>409308.64</x:v>
      </x:c>
      <x:c r="H29" s="42" t="n">
        <x:f>ROUNDUP('Assumptions'!B21/'Infra Model'!$X$17,0)*('Infra Model'!$K$17+'Assumptions'!$B$18*('Infra Model'!$R$17+'Infra Model'!$S$17+'Infra Model'!$T$17))</x:f>
        <x:v>20808.8991584</x:v>
      </x:c>
    </x:row>
    <x:row r="30">
      <x:c r="A30" s="38" t="n">
        <x:f>'Assumptions'!B22*'Assumptions'!$B$18</x:f>
        <x:v>360</x:v>
      </x:c>
      <x:c r="B30" s="38" t="n">
        <x:f>'Assumptions'!C22</x:f>
        <x:v>285.7142857142857</x:v>
      </x:c>
      <x:c r="C30" s="42" t="n">
        <x:f>'Assumptions'!B22*'Assumptions'!$B$18*'API Prices'!$M$5</x:f>
        <x:v>3085.714285714286</x:v>
      </x:c>
      <x:c r="D30" s="42" t="n">
        <x:f>'Assumptions'!B22*'Assumptions'!$B$18*'API Prices'!$M$9</x:f>
        <x:v>1131.4285714285713</x:v>
      </x:c>
      <x:c r="E30" s="42" t="n">
        <x:f>'Assumptions'!B22*'Assumptions'!$B$18*'API Prices'!$M$11</x:f>
        <x:v>1234.2857142857142</x:v>
      </x:c>
      <x:c r="F30" s="42" t="n">
        <x:f>'Assumptions'!B22*'Assumptions'!$B$18*'API Prices'!$M$23</x:f>
        <x:v>178.97142857142856</x:v>
      </x:c>
      <x:c r="G30" s="42" t="n">
        <x:f>ROUNDUP('Assumptions'!B22/'Infra Model'!$X$15,0)*('Infra Model'!$K$15+'Assumptions'!$B$18*('Infra Model'!$R$15+'Infra Model'!$S$15+'Infra Model'!$T$15))</x:f>
        <x:v>409308.64</x:v>
      </x:c>
      <x:c r="H30" s="42" t="n">
        <x:f>ROUNDUP('Assumptions'!B22/'Infra Model'!$X$17,0)*('Infra Model'!$K$17+'Assumptions'!$B$18*('Infra Model'!$R$17+'Infra Model'!$S$17+'Infra Model'!$T$17))</x:f>
        <x:v>20808.8991584</x:v>
      </x:c>
    </x:row>
    <x:row r="31">
      <x:c r="A31" s="38" t="n">
        <x:f>'Assumptions'!B23*'Assumptions'!$B$18</x:f>
        <x:v>3600</x:v>
      </x:c>
      <x:c r="B31" s="38" t="n">
        <x:f>'Assumptions'!C23</x:f>
        <x:v>2857.1428571428573</x:v>
      </x:c>
      <x:c r="C31" s="42" t="n">
        <x:f>'Assumptions'!B23*'Assumptions'!$B$18*'API Prices'!$M$5</x:f>
        <x:v>30857.142857142855</x:v>
      </x:c>
      <x:c r="D31" s="42" t="n">
        <x:f>'Assumptions'!B23*'Assumptions'!$B$18*'API Prices'!$M$9</x:f>
        <x:v>11314.285714285714</x:v>
      </x:c>
      <x:c r="E31" s="42" t="n">
        <x:f>'Assumptions'!B23*'Assumptions'!$B$18*'API Prices'!$M$11</x:f>
        <x:v>12342.857142857141</x:v>
      </x:c>
      <x:c r="F31" s="42" t="n">
        <x:f>'Assumptions'!B23*'Assumptions'!$B$18*'API Prices'!$M$23</x:f>
        <x:v>1789.7142857142856</x:v>
      </x:c>
      <x:c r="G31" s="42" t="n">
        <x:f>ROUNDUP('Assumptions'!B23/'Infra Model'!$X$15,0)*('Infra Model'!$K$15+'Assumptions'!$B$18*('Infra Model'!$R$15+'Infra Model'!$S$15+'Infra Model'!$T$15))</x:f>
        <x:v>409308.64</x:v>
      </x:c>
      <x:c r="H31" s="42" t="n">
        <x:f>ROUNDUP('Assumptions'!B23/'Infra Model'!$X$17,0)*('Infra Model'!$K$17+'Assumptions'!$B$18*('Infra Model'!$R$17+'Infra Model'!$S$17+'Infra Model'!$T$17))</x:f>
        <x:v>20808.8991584</x:v>
      </x:c>
    </x:row>
    <x:row r="32">
      <x:c r="A32" s="38" t="n">
        <x:f>'Assumptions'!B24*'Assumptions'!$B$18</x:f>
        <x:v>36000</x:v>
      </x:c>
      <x:c r="B32" s="38" t="n">
        <x:f>'Assumptions'!C24</x:f>
        <x:v>28571.428571428572</x:v>
      </x:c>
      <x:c r="C32" s="42" t="n">
        <x:f>'Assumptions'!B24*'Assumptions'!$B$18*'API Prices'!$M$5</x:f>
        <x:v>308571.4285714286</x:v>
      </x:c>
      <x:c r="D32" s="42" t="n">
        <x:f>'Assumptions'!B24*'Assumptions'!$B$18*'API Prices'!$M$9</x:f>
        <x:v>113142.85714285714</x:v>
      </x:c>
      <x:c r="E32" s="42" t="n">
        <x:f>'Assumptions'!B24*'Assumptions'!$B$18*'API Prices'!$M$11</x:f>
        <x:v>123428.57142857142</x:v>
      </x:c>
      <x:c r="F32" s="42" t="n">
        <x:f>'Assumptions'!B24*'Assumptions'!$B$18*'API Prices'!$M$23</x:f>
        <x:v>17897.142857142855</x:v>
      </x:c>
      <x:c r="G32" s="42" t="n">
        <x:f>ROUNDUP('Assumptions'!B24/'Infra Model'!$X$15,0)*('Infra Model'!$K$15+'Assumptions'!$B$18*('Infra Model'!$R$15+'Infra Model'!$S$15+'Infra Model'!$T$15))</x:f>
        <x:v>409308.64</x:v>
      </x:c>
      <x:c r="H32" s="42" t="n">
        <x:f>ROUNDUP('Assumptions'!B24/'Infra Model'!$X$17,0)*('Infra Model'!$K$17+'Assumptions'!$B$18*('Infra Model'!$R$17+'Infra Model'!$S$17+'Infra Model'!$T$17))</x:f>
        <x:v>20808.8991584</x:v>
      </x:c>
    </x:row>
    <x:row r="33">
      <x:c r="A33" s="38" t="n">
        <x:f>'Assumptions'!B25*'Assumptions'!$B$18</x:f>
        <x:v>108000</x:v>
      </x:c>
      <x:c r="B33" s="38" t="n">
        <x:f>'Assumptions'!C25</x:f>
        <x:v>85714.28571428571</x:v>
      </x:c>
      <x:c r="C33" s="42" t="n">
        <x:f>'Assumptions'!B25*'Assumptions'!$B$18*'API Prices'!$M$5</x:f>
        <x:v>925714.2857142857</x:v>
      </x:c>
      <x:c r="D33" s="42" t="n">
        <x:f>'Assumptions'!B25*'Assumptions'!$B$18*'API Prices'!$M$9</x:f>
        <x:v>339428.5714285714</x:v>
      </x:c>
      <x:c r="E33" s="42" t="n">
        <x:f>'Assumptions'!B25*'Assumptions'!$B$18*'API Prices'!$M$11</x:f>
        <x:v>370285.71428571426</x:v>
      </x:c>
      <x:c r="F33" s="42" t="n">
        <x:f>'Assumptions'!B25*'Assumptions'!$B$18*'API Prices'!$M$23</x:f>
        <x:v>53691.428571428565</x:v>
      </x:c>
      <x:c r="G33" s="42" t="n">
        <x:f>ROUNDUP('Assumptions'!B25/'Infra Model'!$X$15,0)*('Infra Model'!$K$15+'Assumptions'!$B$18*('Infra Model'!$R$15+'Infra Model'!$S$15+'Infra Model'!$T$15))</x:f>
        <x:v>409308.64</x:v>
      </x:c>
      <x:c r="H33" s="42" t="n">
        <x:f>ROUNDUP('Assumptions'!B25/'Infra Model'!$X$17,0)*('Infra Model'!$K$17+'Assumptions'!$B$18*('Infra Model'!$R$17+'Infra Model'!$S$17+'Infra Model'!$T$17))</x:f>
        <x:v>20808.8991584</x:v>
      </x:c>
    </x:row>
    <x:row r="34">
      <x:c r="A34" s="38" t="n">
        <x:f>'Assumptions'!B26*'Assumptions'!$B$18</x:f>
        <x:v>360000</x:v>
      </x:c>
      <x:c r="B34" s="38" t="n">
        <x:f>'Assumptions'!C26</x:f>
        <x:v>285714.28571428574</x:v>
      </x:c>
      <x:c r="C34" s="42" t="n">
        <x:f>'Assumptions'!B26*'Assumptions'!$B$18*'API Prices'!$M$5</x:f>
        <x:v>3085714.2857142854</x:v>
      </x:c>
      <x:c r="D34" s="42" t="n">
        <x:f>'Assumptions'!B26*'Assumptions'!$B$18*'API Prices'!$M$9</x:f>
        <x:v>1131428.5714285714</x:v>
      </x:c>
      <x:c r="E34" s="42" t="n">
        <x:f>'Assumptions'!B26*'Assumptions'!$B$18*'API Prices'!$M$11</x:f>
        <x:v>1234285.7142857143</x:v>
      </x:c>
      <x:c r="F34" s="42" t="n">
        <x:f>'Assumptions'!B26*'Assumptions'!$B$18*'API Prices'!$M$23</x:f>
        <x:v>178971.42857142855</x:v>
      </x:c>
      <x:c r="G34" s="42" t="n">
        <x:f>ROUNDUP('Assumptions'!B26/'Infra Model'!$X$15,0)*('Infra Model'!$K$15+'Assumptions'!$B$18*('Infra Model'!$R$15+'Infra Model'!$S$15+'Infra Model'!$T$15))</x:f>
        <x:v>409308.64</x:v>
      </x:c>
      <x:c r="H34" s="42" t="n">
        <x:f>ROUNDUP('Assumptions'!B26/'Infra Model'!$X$17,0)*('Infra Model'!$K$17+'Assumptions'!$B$18*('Infra Model'!$R$17+'Infra Model'!$S$17+'Infra Model'!$T$17))</x:f>
        <x:v>62426.697475199995</x:v>
      </x:c>
    </x:row>
    <x:row r="35">
      <x:c r="A35" s="38" t="n">
        <x:f>'Assumptions'!B27*'Assumptions'!$B$18</x:f>
        <x:v>1080000</x:v>
      </x:c>
      <x:c r="B35" s="38" t="n">
        <x:f>'Assumptions'!C27</x:f>
        <x:v>857142.8571428572</x:v>
      </x:c>
      <x:c r="C35" s="42" t="n">
        <x:f>'Assumptions'!B27*'Assumptions'!$B$18*'API Prices'!$M$5</x:f>
        <x:v>9257142.857142856</x:v>
      </x:c>
      <x:c r="D35" s="42" t="n">
        <x:f>'Assumptions'!B27*'Assumptions'!$B$18*'API Prices'!$M$9</x:f>
        <x:v>3394285.714285714</x:v>
      </x:c>
      <x:c r="E35" s="42" t="n">
        <x:f>'Assumptions'!B27*'Assumptions'!$B$18*'API Prices'!$M$11</x:f>
        <x:v>3702857.1428571427</x:v>
      </x:c>
      <x:c r="F35" s="42" t="n">
        <x:f>'Assumptions'!B27*'Assumptions'!$B$18*'API Prices'!$M$23</x:f>
        <x:v>536914.2857142857</x:v>
      </x:c>
      <x:c r="G35" s="42" t="n">
        <x:f>ROUNDUP('Assumptions'!B27/'Infra Model'!$X$15,0)*('Infra Model'!$K$15+'Assumptions'!$B$18*('Infra Model'!$R$15+'Infra Model'!$S$15+'Infra Model'!$T$15))</x:f>
        <x:v>1227925.92</x:v>
      </x:c>
      <x:c r="H35" s="42" t="n">
        <x:f>ROUNDUP('Assumptions'!B27/'Infra Model'!$X$17,0)*('Infra Model'!$K$17+'Assumptions'!$B$18*('Infra Model'!$R$17+'Infra Model'!$S$17+'Infra Model'!$T$17))</x:f>
        <x:v>145662.2941088</x:v>
      </x:c>
    </x:row>
    <x:row r="36">
      <x:c r="A36" s="38" t="n">
        <x:f>'Assumptions'!B28*'Assumptions'!$B$18</x:f>
        <x:v>3600000</x:v>
      </x:c>
      <x:c r="B36" s="38" t="n">
        <x:f>'Assumptions'!C28</x:f>
        <x:v>2857142.8571428573</x:v>
      </x:c>
      <x:c r="C36" s="42" t="n">
        <x:f>'Assumptions'!B28*'Assumptions'!$B$18*'API Prices'!$M$5</x:f>
        <x:v>30857142.857142854</x:v>
      </x:c>
      <x:c r="D36" s="42" t="n">
        <x:f>'Assumptions'!B28*'Assumptions'!$B$18*'API Prices'!$M$9</x:f>
        <x:v>11314285.714285715</x:v>
      </x:c>
      <x:c r="E36" s="42" t="n">
        <x:f>'Assumptions'!B28*'Assumptions'!$B$18*'API Prices'!$M$11</x:f>
        <x:v>12342857.142857142</x:v>
      </x:c>
      <x:c r="F36" s="42" t="n">
        <x:f>'Assumptions'!B28*'Assumptions'!$B$18*'API Prices'!$M$23</x:f>
        <x:v>1789714.2857142857</x:v>
      </x:c>
      <x:c r="G36" s="42" t="n">
        <x:f>ROUNDUP('Assumptions'!B28/'Infra Model'!$X$15,0)*('Infra Model'!$K$15+'Assumptions'!$B$18*('Infra Model'!$R$15+'Infra Model'!$S$15+'Infra Model'!$T$15))</x:f>
        <x:v>3683777.7600000002</x:v>
      </x:c>
      <x:c r="H36" s="42" t="n">
        <x:f>ROUNDUP('Assumptions'!B28/'Infra Model'!$X$17,0)*('Infra Model'!$K$17+'Assumptions'!$B$18*('Infra Model'!$R$17+'Infra Model'!$S$17+'Infra Model'!$T$17))</x:f>
        <x:v>478604.6806432</x:v>
      </x:c>
    </x:row>
    <x:row r="37">
      <x:c r="A37" s="38" t="n">
        <x:f>'Assumptions'!B29*'Assumptions'!$B$18</x:f>
        <x:v>10800000</x:v>
      </x:c>
      <x:c r="B37" s="38" t="n">
        <x:f>'Assumptions'!C29</x:f>
        <x:v>8571428.57142857</x:v>
      </x:c>
      <x:c r="C37" s="42" t="n">
        <x:f>'Assumptions'!B29*'Assumptions'!$B$18*'API Prices'!$M$5</x:f>
        <x:v>92571428.57142857</x:v>
      </x:c>
      <x:c r="D37" s="42" t="n">
        <x:f>'Assumptions'!B29*'Assumptions'!$B$18*'API Prices'!$M$9</x:f>
        <x:v>33942857.14285714</x:v>
      </x:c>
      <x:c r="E37" s="42" t="n">
        <x:f>'Assumptions'!B29*'Assumptions'!$B$18*'API Prices'!$M$11</x:f>
        <x:v>37028571.428571425</x:v>
      </x:c>
      <x:c r="F37" s="42" t="n">
        <x:f>'Assumptions'!B29*'Assumptions'!$B$18*'API Prices'!$M$23</x:f>
        <x:v>5369142.857142856</x:v>
      </x:c>
      <x:c r="G37" s="42" t="n">
        <x:f>ROUNDUP('Assumptions'!B29/'Infra Model'!$X$15,0)*('Infra Model'!$K$15+'Assumptions'!$B$18*('Infra Model'!$R$15+'Infra Model'!$S$15+'Infra Model'!$T$15))</x:f>
        <x:v>10232716</x:v>
      </x:c>
      <x:c r="H37" s="42" t="n">
        <x:f>ROUNDUP('Assumptions'!B29/'Infra Model'!$X$17,0)*('Infra Model'!$K$17+'Assumptions'!$B$18*('Infra Model'!$R$17+'Infra Model'!$S$17+'Infra Model'!$T$17))</x:f>
        <x:v>1394196.2436128</x:v>
      </x:c>
    </x:row>
    <x:row r="40" ht="34" customHeight="1">
      <x:c r="A40" s="35" t="str">
        <x:v>API / model</x:v>
      </x:c>
      <x:c r="B40" s="37" t="str">
        <x:v>Standard request cost</x:v>
      </x:c>
      <x:c r="D40" s="35" t="str">
        <x:v>Infrastructure scenario</x:v>
      </x:c>
      <x:c r="E40" s="37" t="str">
        <x:v>Full-util $/1M</x:v>
      </x:c>
    </x:row>
    <x:row r="41">
      <x:c r="A41" t="str">
        <x:f>'API Prices'!B21&amp;" "&amp;'API Prices'!C21</x:f>
        <x:v>Baseten GPT-OSS 120B</x:v>
      </x:c>
      <x:c r="B41" s="40" t="n">
        <x:f>'API Prices'!K21</x:f>
        <x:v>0.0055</x:v>
      </x:c>
      <x:c r="D41" t="str">
        <x:f>'Infra Model'!B5</x:f>
        <x:v>AWS 8xH200 on-demand</x:v>
      </x:c>
      <x:c r="E41" s="40" t="n">
        <x:f>'Infra Model'!AB5</x:f>
        <x:v>3.776976667622268</x:v>
      </x:c>
    </x:row>
    <x:row r="42">
      <x:c r="A42" t="str">
        <x:f>'API Prices'!B24&amp;" "&amp;'API Prices'!C24</x:f>
        <x:v>DeepSeek DeepSeek V4 Flash</x:v>
      </x:c>
      <x:c r="B42" s="40" t="n">
        <x:f>'API Prices'!K24</x:f>
        <x:v>0.0056</x:v>
      </x:c>
      <x:c r="D42" t="str">
        <x:f>'Infra Model'!B6</x:f>
        <x:v>Azure 8xH200 on-demand</x:v>
      </x:c>
      <x:c r="E42" s="40" t="n">
        <x:f>'Infra Model'!AB6</x:f>
        <x:v>5.060155798381704</x:v>
      </x:c>
    </x:row>
    <x:row r="43">
      <x:c r="A43" t="str">
        <x:f>'API Prices'!B17&amp;" "&amp;'API Prices'!C17</x:f>
        <x:v>Groq GPT-OSS 120B</x:v>
      </x:c>
      <x:c r="B43" s="40" t="n">
        <x:f>'API Prices'!K17</x:f>
        <x:v>0.0075</x:v>
      </x:c>
      <x:c r="D43" t="str">
        <x:f>'Infra Model'!B7</x:f>
        <x:v>GCP 8xH200 on-demand</x:v>
      </x:c>
      <x:c r="E43" s="40" t="n">
        <x:f>'Infra Model'!AB7</x:f>
        <x:v>5.0605680395481185</x:v>
      </x:c>
    </x:row>
    <x:row r="44">
      <x:c r="A44" t="str">
        <x:f>'API Prices'!B22&amp;" "&amp;'API Prices'!C22</x:f>
        <x:v>Replicate GPT-OSS 120B</x:v>
      </x:c>
      <x:c r="B44" s="40" t="n">
        <x:f>'API Prices'!K22</x:f>
        <x:v>0.009000000000000001</x:v>
      </x:c>
      <x:c r="D44" t="str">
        <x:f>'Infra Model'!B8</x:f>
        <x:v>CoreWeave 8xH200 on-demand</x:v>
      </x:c>
      <x:c r="E44" s="40" t="n">
        <x:f>'Infra Model'!AB8</x:f>
        <x:v>3.0098379536600604</x:v>
      </x:c>
    </x:row>
    <x:row r="45">
      <x:c r="A45" t="str">
        <x:f>'API Prices'!B20&amp;" "&amp;'API Prices'!C20</x:f>
        <x:v>SambaNova GPT-OSS 120B</x:v>
      </x:c>
      <x:c r="B45" s="40" t="n">
        <x:f>'API Prices'!K20</x:f>
        <x:v>0.00955</x:v>
      </x:c>
      <x:c r="D45" t="str">
        <x:f>'Infra Model'!B9</x:f>
        <x:v>Crusoe 8xH200 on-demand</x:v>
      </x:c>
      <x:c r="E45" s="40" t="n">
        <x:f>'Infra Model'!AB9</x:f>
        <x:v>2.0479309787790103</x:v>
      </x:c>
    </x:row>
    <x:row r="46">
      <x:c r="A46" t="str">
        <x:f>'API Prices'!B19&amp;" "&amp;'API Prices'!C19</x:f>
        <x:v>Cerebras GPT-OSS 120B</x:v>
      </x:c>
      <x:c r="B46" s="40" t="n">
        <x:f>'API Prices'!K19</x:f>
        <x:v>0.01425</x:v>
      </x:c>
      <x:c r="D46" t="str">
        <x:f>'Infra Model'!B10</x:f>
        <x:v>Runpod 8xH200 on-demand</x:v>
      </x:c>
      <x:c r="E46" s="40" t="n">
        <x:f>'Infra Model'!AB10</x:f>
        <x:v>2.0956682976316676</x:v>
      </x:c>
    </x:row>
    <x:row r="47">
      <x:c r="A47" t="str">
        <x:f>'API Prices'!B23&amp;" "&amp;'API Prices'!C23</x:f>
        <x:v>DeepSeek DeepSeek V4 Pro</x:v>
      </x:c>
      <x:c r="B47" s="40" t="n">
        <x:f>'API Prices'!K23</x:f>
        <x:v>0.0174</x:v>
      </x:c>
      <x:c r="D47" t="str">
        <x:f>'Infra Model'!B11</x:f>
        <x:v>Akash 8xH200 live quote</x:v>
      </x:c>
      <x:c r="E47" s="40" t="n">
        <x:f>'Infra Model'!AB11</x:f>
        <x:v>2.143405616484326</x:v>
      </x:c>
    </x:row>
    <x:row r="48">
      <x:c r="A48" t="str">
        <x:f>'API Prices'!B18&amp;" "&amp;'API Prices'!C18</x:f>
        <x:v>DeepInfra Kimi K2.7 Code</x:v>
      </x:c>
      <x:c r="B48" s="40" t="n">
        <x:f>'API Prices'!K18</x:f>
        <x:v>0.0397</x:v>
      </x:c>
      <x:c r="D48" t="str">
        <x:f>'Infra Model'!B12</x:f>
        <x:v>Aethir 8xH100 demo rate</x:v>
      </x:c>
      <x:c r="E48" s="40" t="n">
        <x:f>'Infra Model'!AB12</x:f>
        <x:v>0.6855058425794722</x:v>
      </x:c>
    </x:row>
    <x:row r="49">
      <x:c r="A49" t="str">
        <x:f>'API Prices'!B14&amp;" "&amp;'API Prices'!C14</x:f>
        <x:v>xAI Grok Build 0.1</x:v>
      </x:c>
      <x:c r="B49" s="40" t="n">
        <x:f>'API Prices'!K14</x:f>
        <x:v>0.04</x:v>
      </x:c>
      <x:c r="D49" t="str">
        <x:f>'Infra Model'!B13</x:f>
        <x:v>io.net 8xH100 published snapshot</x:v>
      </x:c>
      <x:c r="E49" s="40" t="n">
        <x:f>'Infra Model'!AB13</x:f>
        <x:v>1.2064902829398712</x:v>
      </x:c>
    </x:row>
    <x:row r="50">
      <x:c r="A50" t="str">
        <x:f>'API Prices'!B15&amp;" "&amp;'API Prices'!C15</x:f>
        <x:v>Together AI Kimi K2.7 Code</x:v>
      </x:c>
      <x:c r="B50" s="40" t="n">
        <x:f>'API Prices'!K15</x:f>
        <x:v>0.0485</x:v>
      </x:c>
      <x:c r="D50" t="str">
        <x:f>'Infra Model'!B14</x:f>
        <x:v>Owned on-prem 8xH200</x:v>
      </x:c>
      <x:c r="E50" s="40" t="n">
        <x:f>'Infra Model'!AB14</x:f>
        <x:v>0.7468612973282652</x:v>
      </x:c>
    </x:row>
    <x:row r="51">
      <x:c r="A51" t="str">
        <x:f>'API Prices'!B27&amp;" "&amp;'API Prices'!C27</x:f>
        <x:v>DeepInfra DeepSeek V4 Pro</x:v>
      </x:c>
      <x:c r="B51" s="40" t="n">
        <x:f>'API Prices'!K27</x:f>
        <x:v>0.052</x:v>
      </x:c>
      <x:c r="D51" t="str">
        <x:f>'Infra Model'!B15</x:f>
        <x:v>Owned colocated 8xH200</x:v>
      </x:c>
      <x:c r="E51" s="40" t="n">
        <x:f>'Infra Model'!AB15</x:f>
        <x:v>0.8572867170002031</x:v>
      </x:c>
    </x:row>
    <x:row r="52">
      <x:c r="A52" t="str">
        <x:f>'API Prices'!B10&amp;" "&amp;'API Prices'!C10</x:f>
        <x:v>Anthropic Claude Haiku 4.5</x:v>
      </x:c>
      <x:c r="B52" s="40" t="n">
        <x:f>'API Prices'!K10</x:f>
        <x:v>0.055</x:v>
      </x:c>
      <x:c r="D52" t="str">
        <x:f>'Infra Model'!B16</x:f>
        <x:v>Owned on-prem 8xB200 max-throughput</x:v>
      </x:c>
      <x:c r="E52" s="40" t="n">
        <x:f>'Infra Model'!AB16</x:f>
        <x:v>0.05906965736362274</x:v>
      </x:c>
    </x:row>
    <x:row r="53">
      <x:c r="A53" t="str">
        <x:f>'API Prices'!B7&amp;" "&amp;'API Prices'!C7</x:f>
        <x:v>OpenAI GPT-5.6 Luna</x:v>
      </x:c>
      <x:c r="B53" s="40" t="n">
        <x:f>'API Prices'!K7</x:f>
        <x:v>0.06</x:v>
      </x:c>
      <x:c r="D53" t="str">
        <x:f>'Infra Model'!B17</x:f>
        <x:v>Local RTX PRO 6000 workstation</x:v>
      </x:c>
      <x:c r="E53" s="40" t="n">
        <x:f>'Infra Model'!AB17</x:f>
        <x:v>0.11807868247474167</x:v>
      </x:c>
    </x:row>
    <x:row r="54">
      <x:c r="A54" t="str">
        <x:f>'API Prices'!B26&amp;" "&amp;'API Prices'!C26</x:f>
        <x:v>Z.AI GLM-5.1</x:v>
      </x:c>
      <x:c r="B54" s="40" t="n">
        <x:f>'API Prices'!K26</x:f>
        <x:v>0.064</x:v>
      </x:c>
    </x:row>
    <x:row r="55">
      <x:c r="A55" t="str">
        <x:f>'API Prices'!B16&amp;" "&amp;'API Prices'!C16</x:f>
        <x:v>Fireworks AI DeepSeek V4 Pro</x:v>
      </x:c>
      <x:c r="B55" s="40" t="n">
        <x:f>'API Prices'!K16</x:f>
        <x:v>0.0696</x:v>
      </x:c>
    </x:row>
    <x:row r="56">
      <x:c r="A56" t="str">
        <x:f>'API Prices'!B28&amp;" "&amp;'API Prices'!C28</x:f>
        <x:v>Crusoe DeepSeek V4 Pro</x:v>
      </x:c>
      <x:c r="B56" s="40" t="n">
        <x:f>'API Prices'!K28</x:f>
        <x:v>0.0696</x:v>
      </x:c>
    </x:row>
    <x:row r="57">
      <x:c r="A57" t="str">
        <x:f>'API Prices'!B25&amp;" "&amp;'API Prices'!C25</x:f>
        <x:v>Mistral AI Mistral Medium 3.5</x:v>
      </x:c>
      <x:c r="B57" s="40" t="n">
        <x:f>'API Prices'!K25</x:f>
        <x:v>0.08249999999999999</x:v>
      </x:c>
    </x:row>
    <x:row r="58">
      <x:c r="A58" t="str">
        <x:f>'API Prices'!B12&amp;" "&amp;'API Prices'!C12</x:f>
        <x:v>Google Gemini 3.5 Flash</x:v>
      </x:c>
      <x:c r="B58" s="40" t="n">
        <x:f>'API Prices'!K12</x:f>
        <x:v>0.09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7" hidden="0" customWidth="1"/>
    <x:col min="3" max="3" width="27" hidden="0" customWidth="1"/>
    <x:col min="4" max="4" width="35" hidden="0" customWidth="1"/>
    <x:col min="5" max="5" width="15" hidden="0" customWidth="1"/>
    <x:col min="6" max="6" width="46" hidden="0" customWidth="1"/>
    <x:col min="7" max="7" width="55" hidden="0" customWidth="1"/>
    <x:col min="8" max="8" width="45" hidden="0" customWidth="1"/>
  </x:cols>
  <x:sheetData>
    <x:row r="1" ht="32" customHeight="1">
      <x:c r="A1" s="3" t="str">
        <x:v>Practical inference routes—market map</x:v>
      </x:c>
      <x:c r="B1" s="3" t="str">
        <x:v>Practical inference routes—market map</x:v>
      </x:c>
      <x:c r="C1" s="3" t="str">
        <x:v>Practical inference routes—market map</x:v>
      </x:c>
      <x:c r="D1" s="3" t="str">
        <x:v>Practical inference routes—market map</x:v>
      </x:c>
      <x:c r="E1" s="3" t="str">
        <x:v>Practical inference routes—market map</x:v>
      </x:c>
      <x:c r="F1" s="3" t="str">
        <x:v>Practical inference routes—market map</x:v>
      </x:c>
      <x:c r="G1" s="3" t="str">
        <x:v>Practical inference routes—market map</x:v>
      </x:c>
      <x:c r="H1" s="3" t="str">
        <x:v>Practical inference routes—market map</x:v>
      </x:c>
    </x:row>
    <x:row r="2" ht="30" customHeight="1">
      <x:c r="A2" s="7" t="str">
        <x:v>This sheet is intentionally broader than the graphs. Contract-priced and non-comparable routes are mapped even when they cannot be placed on a defensible public-price curve.</x:v>
      </x:c>
      <x:c r="B2" s="7" t="str">
        <x:v>This sheet is intentionally broader than the graphs. Contract-priced and non-comparable routes are mapped even when they cannot be placed on a defensible public-price curve.</x:v>
      </x:c>
      <x:c r="C2" s="7" t="str">
        <x:v>This sheet is intentionally broader than the graphs. Contract-priced and non-comparable routes are mapped even when they cannot be placed on a defensible public-price curve.</x:v>
      </x:c>
      <x:c r="D2" s="7" t="str">
        <x:v>This sheet is intentionally broader than the graphs. Contract-priced and non-comparable routes are mapped even when they cannot be placed on a defensible public-price curve.</x:v>
      </x:c>
      <x:c r="E2" s="7" t="str">
        <x:v>This sheet is intentionally broader than the graphs. Contract-priced and non-comparable routes are mapped even when they cannot be placed on a defensible public-price curve.</x:v>
      </x:c>
      <x:c r="F2" s="7" t="str">
        <x:v>This sheet is intentionally broader than the graphs. Contract-priced and non-comparable routes are mapped even when they cannot be placed on a defensible public-price curve.</x:v>
      </x:c>
      <x:c r="G2" s="7" t="str">
        <x:v>This sheet is intentionally broader than the graphs. Contract-priced and non-comparable routes are mapped even when they cannot be placed on a defensible public-price curve.</x:v>
      </x:c>
      <x:c r="H2" s="7" t="str">
        <x:v>This sheet is intentionally broader than the graphs. Contract-priced and non-comparable routes are mapped even when they cannot be placed on a defensible public-price curve.</x:v>
      </x:c>
    </x:row>
    <x:row r="4" ht="34" customHeight="1">
      <x:c r="A4" s="35" t="str">
        <x:v>Route</x:v>
      </x:c>
      <x:c r="B4" s="36" t="str">
        <x:v>Billing model</x:v>
      </x:c>
      <x:c r="C4" s="36" t="str">
        <x:v>Fixed-cost shape</x:v>
      </x:c>
      <x:c r="D4" s="36" t="str">
        <x:v>Price evidence</x:v>
      </x:c>
      <x:c r="E4" s="36" t="str">
        <x:v>Ops burden</x:v>
      </x:c>
      <x:c r="F4" s="36" t="str">
        <x:v>Best practical fit</x:v>
      </x:c>
      <x:c r="G4" s="36" t="str">
        <x:v>Examples</x:v>
      </x:c>
      <x:c r="H4" s="37" t="str">
        <x:v>Workbook treatment</x:v>
      </x:c>
    </x:row>
    <x:row r="5" ht="54" customHeight="1">
      <x:c r="A5" s="13" t="str">
        <x:v>First-party frontier API</x:v>
      </x:c>
      <x:c r="B5" s="13" t="str">
        <x:v>Per input/output token</x:v>
      </x:c>
      <x:c r="C5" s="13" t="str">
        <x:v>Near zero</x:v>
      </x:c>
      <x:c r="D5" s="13" t="str">
        <x:v>Published token price</x:v>
      </x:c>
      <x:c r="E5" s="13" t="str">
        <x:v>Low</x:v>
      </x:c>
      <x:c r="F5" s="13" t="str">
        <x:v>Fastest path to current frontier models</x:v>
      </x:c>
      <x:c r="G5" s="13" t="str">
        <x:v>OpenAI, Anthropic, Google, xAI</x:v>
      </x:c>
      <x:c r="H5" s="13" t="str">
        <x:v>Included</x:v>
      </x:c>
    </x:row>
    <x:row r="6" ht="54" customHeight="1">
      <x:c r="A6" s="13" t="str">
        <x:v>Direct open-model lab API</x:v>
      </x:c>
      <x:c r="B6" s="13" t="str">
        <x:v>Per input/output token</x:v>
      </x:c>
      <x:c r="C6" s="13" t="str">
        <x:v>Near zero</x:v>
      </x:c>
      <x:c r="D6" s="13" t="str">
        <x:v>Published token price</x:v>
      </x:c>
      <x:c r="E6" s="13" t="str">
        <x:v>Low</x:v>
      </x:c>
      <x:c r="F6" s="13" t="str">
        <x:v>Often the cheapest access to the lab's own weights</x:v>
      </x:c>
      <x:c r="G6" s="13" t="str">
        <x:v>DeepSeek, Z.AI, Mistral</x:v>
      </x:c>
      <x:c r="H6" s="13" t="str">
        <x:v>Included</x:v>
      </x:c>
    </x:row>
    <x:row r="7" ht="54" customHeight="1">
      <x:c r="A7" s="13" t="str">
        <x:v>Managed open-model serverless</x:v>
      </x:c>
      <x:c r="B7" s="13" t="str">
        <x:v>Per input/output token</x:v>
      </x:c>
      <x:c r="C7" s="13" t="str">
        <x:v>Near zero</x:v>
      </x:c>
      <x:c r="D7" s="13" t="str">
        <x:v>Published token price</x:v>
      </x:c>
      <x:c r="E7" s="13" t="str">
        <x:v>Low</x:v>
      </x:c>
      <x:c r="F7" s="13" t="str">
        <x:v>Variable traffic and model choice without GPU operations</x:v>
      </x:c>
      <x:c r="G7" s="13" t="str">
        <x:v>Together, Fireworks, Groq, DeepInfra, Cerebras, SambaNova, Baseten, Replicate</x:v>
      </x:c>
      <x:c r="H7" s="13" t="str">
        <x:v>Included</x:v>
      </x:c>
    </x:row>
    <x:row r="8" ht="54" customHeight="1">
      <x:c r="A8" s="13" t="str">
        <x:v>Cloud managed model API</x:v>
      </x:c>
      <x:c r="B8" s="13" t="str">
        <x:v>Per token / provisioned throughput</x:v>
      </x:c>
      <x:c r="C8" s="13" t="str">
        <x:v>Near zero or commitment</x:v>
      </x:c>
      <x:c r="D8" s="13" t="str">
        <x:v>Published token or capacity price</x:v>
      </x:c>
      <x:c r="E8" s="13" t="str">
        <x:v>Low-medium</x:v>
      </x:c>
      <x:c r="F8" s="13" t="str">
        <x:v>Cloud IAM, compliance, consolidated billing</x:v>
      </x:c>
      <x:c r="G8" s="13" t="str">
        <x:v>Bedrock, Azure AI Foundry, Vertex AI</x:v>
      </x:c>
      <x:c r="H8" s="13" t="str">
        <x:v>Market-map only; model prices largely duplicate first-party rows</x:v>
      </x:c>
    </x:row>
    <x:row r="9" ht="54" customHeight="1">
      <x:c r="A9" s="13" t="str">
        <x:v>Provisioned throughput</x:v>
      </x:c>
      <x:c r="B9" s="13" t="str">
        <x:v>Reserved tokens/sec or model units</x:v>
      </x:c>
      <x:c r="C9" s="13" t="str">
        <x:v>Contract commitment</x:v>
      </x:c>
      <x:c r="D9" s="13" t="str">
        <x:v>Quote or published capacity</x:v>
      </x:c>
      <x:c r="E9" s="13" t="str">
        <x:v>Low-medium</x:v>
      </x:c>
      <x:c r="F9" s="13" t="str">
        <x:v>Stable latency and reserved capacity</x:v>
      </x:c>
      <x:c r="G9" s="13" t="str">
        <x:v>Bedrock PT, Vertex Provisioned Throughput, Together PT</x:v>
      </x:c>
      <x:c r="H9" s="13" t="str">
        <x:v>Not graphed—contract terms are workload-specific</x:v>
      </x:c>
    </x:row>
    <x:row r="10" ht="54" customHeight="1">
      <x:c r="A10" s="13" t="str">
        <x:v>Managed dedicated endpoint</x:v>
      </x:c>
      <x:c r="B10" s="13" t="str">
        <x:v>GPU-second/hour</x:v>
      </x:c>
      <x:c r="C10" s="13" t="str">
        <x:v>Warm endpoint floor</x:v>
      </x:c>
      <x:c r="D10" s="13" t="str">
        <x:v>Published GPU rate + estimated throughput</x:v>
      </x:c>
      <x:c r="E10" s="13" t="str">
        <x:v>Medium</x:v>
      </x:c>
      <x:c r="F10" s="13" t="str">
        <x:v>Dedicated capacity without full infrastructure operations</x:v>
      </x:c>
      <x:c r="G10" s="13" t="str">
        <x:v>Fireworks, Crusoe, Together, Baseten</x:v>
      </x:c>
      <x:c r="H10" s="13" t="str">
        <x:v>Included in GPU table</x:v>
      </x:c>
    </x:row>
    <x:row r="11" ht="54" customHeight="1">
      <x:c r="A11" s="13" t="str">
        <x:v>Hyperscaler raw GPU on-demand</x:v>
      </x:c>
      <x:c r="B11" s="13" t="str">
        <x:v>VM-second/hour</x:v>
      </x:c>
      <x:c r="C11" s="13" t="str">
        <x:v>Zero if stopped; high if always-on</x:v>
      </x:c>
      <x:c r="D11" s="13" t="str">
        <x:v>Published VM price + estimated throughput</x:v>
      </x:c>
      <x:c r="E11" s="13" t="str">
        <x:v>High</x:v>
      </x:c>
      <x:c r="F11" s="13" t="str">
        <x:v>Full control, cloud integration, burst capacity</x:v>
      </x:c>
      <x:c r="G11" s="13" t="str">
        <x:v>AWS, Azure, GCP</x:v>
      </x:c>
      <x:c r="H11" s="13" t="str">
        <x:v>Included</x:v>
      </x:c>
    </x:row>
    <x:row r="12" ht="54" customHeight="1">
      <x:c r="A12" s="13" t="str">
        <x:v>Hyperscaler reserved / capacity block / spot</x:v>
      </x:c>
      <x:c r="B12" s="13" t="str">
        <x:v>Committed or interruptible VM-hour</x:v>
      </x:c>
      <x:c r="C12" s="13" t="str">
        <x:v>Commitment or eviction risk</x:v>
      </x:c>
      <x:c r="D12" s="13" t="str">
        <x:v>Published/derived rate + estimated throughput</x:v>
      </x:c>
      <x:c r="E12" s="13" t="str">
        <x:v>High</x:v>
      </x:c>
      <x:c r="F12" s="13" t="str">
        <x:v>Lower rate for predictable or fault-tolerant load</x:v>
      </x:c>
      <x:c r="G12" s="13" t="str">
        <x:v>AWS Capacity Blocks, Azure reservations, GCP DWS/Spot</x:v>
      </x:c>
      <x:c r="H12" s="13" t="str">
        <x:v>Included</x:v>
      </x:c>
    </x:row>
    <x:row r="13" ht="54" customHeight="1">
      <x:c r="A13" s="13" t="str">
        <x:v>Neocloud raw GPU</x:v>
      </x:c>
      <x:c r="B13" s="13" t="str">
        <x:v>GPU-second/hour</x:v>
      </x:c>
      <x:c r="C13" s="13" t="str">
        <x:v>Zero if stopped; warm endpoint floor</x:v>
      </x:c>
      <x:c r="D13" s="13" t="str">
        <x:v>Published rate + estimated throughput</x:v>
      </x:c>
      <x:c r="E13" s="13" t="str">
        <x:v>High</x:v>
      </x:c>
      <x:c r="F13" s="13" t="str">
        <x:v>Lower GPU rates and simpler access</x:v>
      </x:c>
      <x:c r="G13" s="13" t="str">
        <x:v>CoreWeave, Lambda, Crusoe, Nebius, Runpod</x:v>
      </x:c>
      <x:c r="H13" s="13" t="str">
        <x:v>Included</x:v>
      </x:c>
    </x:row>
    <x:row r="14" ht="54" customHeight="1">
      <x:c r="A14" s="13" t="str">
        <x:v>DePIN / distributed GPU</x:v>
      </x:c>
      <x:c r="B14" s="13" t="str">
        <x:v>Market lease / GPU-second</x:v>
      </x:c>
      <x:c r="C14" s="13" t="str">
        <x:v>Usually low</x:v>
      </x:c>
      <x:c r="D14" s="13" t="str">
        <x:v>Live quote + estimated throughput</x:v>
      </x:c>
      <x:c r="E14" s="13" t="str">
        <x:v>High</x:v>
      </x:c>
      <x:c r="F14" s="13" t="str">
        <x:v>Lowest quoted compute, but variable availability and operational consistency</x:v>
      </x:c>
      <x:c r="G14" s="13" t="str">
        <x:v>Akash, io.net, Aethir</x:v>
      </x:c>
      <x:c r="H14" s="13" t="str">
        <x:v>Included</x:v>
      </x:c>
    </x:row>
    <x:row r="15" ht="54" customHeight="1">
      <x:c r="A15" s="13" t="str">
        <x:v>Owned on-prem</x:v>
      </x:c>
      <x:c r="B15" s="13" t="str">
        <x:v>Capex + power + maintenance</x:v>
      </x:c>
      <x:c r="C15" s="13" t="str">
        <x:v>High capex</x:v>
      </x:c>
      <x:c r="D15" s="13" t="str">
        <x:v>Estimated TCO from published inputs</x:v>
      </x:c>
      <x:c r="E15" s="13" t="str">
        <x:v>Very high</x:v>
      </x:c>
      <x:c r="F15" s="13" t="str">
        <x:v>Data control and predictable baseline load</x:v>
      </x:c>
      <x:c r="G15" s="13" t="str">
        <x:v>H100/H200/B200 servers</x:v>
      </x:c>
      <x:c r="H15" s="13" t="str">
        <x:v>Included</x:v>
      </x:c>
    </x:row>
    <x:row r="16" ht="54" customHeight="1">
      <x:c r="A16" s="13" t="str">
        <x:v>Owned in colocation</x:v>
      </x:c>
      <x:c r="B16" s="13" t="str">
        <x:v>Capex + all-in rack/power</x:v>
      </x:c>
      <x:c r="C16" s="13" t="str">
        <x:v>High capex + facility floor</x:v>
      </x:c>
      <x:c r="D16" s="13" t="str">
        <x:v>Estimated TCO from published inputs</x:v>
      </x:c>
      <x:c r="E16" s="13" t="str">
        <x:v>High</x:v>
      </x:c>
      <x:c r="F16" s="13" t="str">
        <x:v>Avoid building a data center while retaining hardware control</x:v>
      </x:c>
      <x:c r="G16" s="13" t="str">
        <x:v>High-density AI colo</x:v>
      </x:c>
      <x:c r="H16" s="13" t="str">
        <x:v>Included</x:v>
      </x:c>
    </x:row>
    <x:row r="17" ht="54" customHeight="1">
      <x:c r="A17" s="13" t="str">
        <x:v>Local workstation</x:v>
      </x:c>
      <x:c r="B17" s="13" t="str">
        <x:v>Capex + electricity</x:v>
      </x:c>
      <x:c r="C17" s="13" t="str">
        <x:v>Moderate capex</x:v>
      </x:c>
      <x:c r="D17" s="13" t="str">
        <x:v>Estimated TCO from published inputs</x:v>
      </x:c>
      <x:c r="E17" s="13" t="str">
        <x:v>Medium</x:v>
      </x:c>
      <x:c r="F17" s="13" t="str">
        <x:v>Private development and smaller open coding models</x:v>
      </x:c>
      <x:c r="G17" s="13" t="str">
        <x:v>RTX PRO 6000 / RTX 5090 class</x:v>
      </x:c>
      <x:c r="H17" s="13" t="str">
        <x:v>Included; lower capability tier</x:v>
      </x:c>
    </x:row>
    <x:row r="18" ht="54" customHeight="1">
      <x:c r="A18" s="13" t="str">
        <x:v>Hybrid baseline + burst</x:v>
      </x:c>
      <x:c r="B18" s="13" t="str">
        <x:v>Owned baseline plus API/cloud overflow</x:v>
      </x:c>
      <x:c r="C18" s="13" t="str">
        <x:v>Mixed</x:v>
      </x:c>
      <x:c r="D18" s="13" t="str">
        <x:v>Composite estimate</x:v>
      </x:c>
      <x:c r="E18" s="13" t="str">
        <x:v>High</x:v>
      </x:c>
      <x:c r="F18" s="13" t="str">
        <x:v>Often the practical cost/risk optimum</x:v>
      </x:c>
      <x:c r="G18" s="13" t="str">
        <x:v>Owned H200 + serverless API fallback</x:v>
      </x:c>
      <x:c r="H18" s="13" t="str">
        <x:v>Discussed; not graphed as a single curve</x:v>
      </x:c>
    </x:row>
    <x:row r="19" ht="54" customHeight="1">
      <x:c r="A19" s="13" t="str">
        <x:v>CPU / Apple Silicon / edge</x:v>
      </x:c>
      <x:c r="B19" s="13" t="str">
        <x:v>Owned device energy</x:v>
      </x:c>
      <x:c r="C19" s="13" t="str">
        <x:v>Device capex</x:v>
      </x:c>
      <x:c r="D19" s="13" t="str">
        <x:v>Highly model- and quantization-specific estimate</x:v>
      </x:c>
      <x:c r="E19" s="13" t="str">
        <x:v>Medium</x:v>
      </x:c>
      <x:c r="F19" s="13" t="str">
        <x:v>Small models, offline/privacy, low concurrency</x:v>
      </x:c>
      <x:c r="G19" s="13" t="str">
        <x:v>CPU, Mac, edge accelerators</x:v>
      </x:c>
      <x:c r="H19" s="13" t="str">
        <x:v>Market-map only; no comparable audited coding-agent benchmark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74a52c4480e48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9" hidden="0" customWidth="1"/>
    <x:col min="3" max="3" width="37" hidden="0" customWidth="1"/>
    <x:col min="4" max="4" width="31" hidden="0" customWidth="1"/>
    <x:col min="5" max="5" width="78" hidden="0" customWidth="1"/>
    <x:col min="6" max="6" width="14" hidden="0" customWidth="1"/>
    <x:col min="7" max="7" width="62" hidden="0" customWidth="1"/>
  </x:cols>
  <x:sheetData>
    <x:row r="1" ht="32" customHeight="1">
      <x:c r="A1" s="3" t="str">
        <x:v>Sources, methodology, and evidence classification</x:v>
      </x:c>
      <x:c r="B1" s="3" t="str">
        <x:v>Sources, methodology, and evidence classification</x:v>
      </x:c>
      <x:c r="C1" s="3" t="str">
        <x:v>Sources, methodology, and evidence classification</x:v>
      </x:c>
      <x:c r="D1" s="3" t="str">
        <x:v>Sources, methodology, and evidence classification</x:v>
      </x:c>
      <x:c r="E1" s="3" t="str">
        <x:v>Sources, methodology, and evidence classification</x:v>
      </x:c>
      <x:c r="F1" s="3" t="str">
        <x:v>Sources, methodology, and evidence classification</x:v>
      </x:c>
      <x:c r="G1" s="3" t="str">
        <x:v>Sources, methodology, and evidence classification</x:v>
      </x:c>
    </x:row>
    <x:row r="2" ht="30" customHeight="1">
      <x:c r="A2" s="7" t="str">
        <x:v>URLs are plain text for auditability. Access date is 2026-07-15 unless a quote timestamp is shown separately.</x:v>
      </x:c>
      <x:c r="B2" s="7" t="str">
        <x:v>URLs are plain text for auditability. Access date is 2026-07-15 unless a quote timestamp is shown separately.</x:v>
      </x:c>
      <x:c r="C2" s="7" t="str">
        <x:v>URLs are plain text for auditability. Access date is 2026-07-15 unless a quote timestamp is shown separately.</x:v>
      </x:c>
      <x:c r="D2" s="7" t="str">
        <x:v>URLs are plain text for auditability. Access date is 2026-07-15 unless a quote timestamp is shown separately.</x:v>
      </x:c>
      <x:c r="E2" s="7" t="str">
        <x:v>URLs are plain text for auditability. Access date is 2026-07-15 unless a quote timestamp is shown separately.</x:v>
      </x:c>
      <x:c r="F2" s="7" t="str">
        <x:v>URLs are plain text for auditability. Access date is 2026-07-15 unless a quote timestamp is shown separately.</x:v>
      </x:c>
      <x:c r="G2" s="7" t="str">
        <x:v>URLs are plain text for auditability. Access date is 2026-07-15 unless a quote timestamp is shown separately.</x:v>
      </x:c>
    </x:row>
    <x:row r="4" ht="34" customHeight="1">
      <x:c r="A4" s="35" t="str">
        <x:v>Topic</x:v>
      </x:c>
      <x:c r="B4" s="36" t="str">
        <x:v>Observation</x:v>
      </x:c>
      <x:c r="C4" s="36" t="str">
        <x:v>Value / condition</x:v>
      </x:c>
      <x:c r="D4" s="36" t="str">
        <x:v>Evidence class</x:v>
      </x:c>
      <x:c r="E4" s="36" t="str">
        <x:v>Source URL</x:v>
      </x:c>
      <x:c r="F4" s="36" t="str">
        <x:v>Access date</x:v>
      </x:c>
      <x:c r="G4" s="37" t="str">
        <x:v>Modeling note</x:v>
      </x:c>
    </x:row>
    <x:row r="5" ht="52" customHeight="1">
      <x:c r="A5" s="13" t="str">
        <x:v>Workload</x:v>
      </x:c>
      <x:c r="B5" s="13" t="str">
        <x:v>Standard coding-agent request</x:v>
      </x:c>
      <x:c r="C5" s="13" t="str">
        <x:v>30K input + 5K output</x:v>
      </x:c>
      <x:c r="D5" s="13" t="str">
        <x:v>Analyst assumption</x:v>
      </x:c>
      <x:c r="E5" s="13" t="str"/>
      <x:c r="F5" s="13" t="str">
        <x:v>2026-07-15</x:v>
      </x:c>
      <x:c r="G5" s="13" t="str">
        <x:v>Editable; chosen to represent repository context plus a substantial agent response.</x:v>
      </x:c>
    </x:row>
    <x:row r="6" ht="52" customHeight="1">
      <x:c r="A6" s="13" t="str">
        <x:v>Throughput</x:v>
      </x:c>
      <x:c r="B6" s="13" t="str">
        <x:v>Llama 3.3 70B FP8 TP2</x:v>
      </x:c>
      <x:c r="C6" s="13" t="str">
        <x:v>20K input / 2K output; c=5 H100 186.8 tok/s, H200 215.84 tok/s</x:v>
      </x:c>
      <x:c r="D6" s="13" t="str">
        <x:v>Published benchmark</x:v>
      </x:c>
      <x:c r="E6" s="13" t="str">
        <x:v>https://docs.nvidia.com/nim/benchmarking/llm/latest/performance.html</x:v>
      </x:c>
      <x:c r="F6" s="13" t="str">
        <x:v>2026-07-15</x:v>
      </x:c>
      <x:c r="G6" s="13" t="str">
        <x:v>Eight-GPU node uses four modeled TP2 replicas.</x:v>
      </x:c>
    </x:row>
    <x:row r="7" ht="52" customHeight="1">
      <x:c r="A7" s="13" t="str">
        <x:v>Throughput</x:v>
      </x:c>
      <x:c r="B7" s="13" t="str">
        <x:v>Prefill translation</x:v>
      </x:c>
      <x:c r="C7" s="13" t="str">
        <x:v>input × concurrency ÷ TTFT × replicas</x:v>
      </x:c>
      <x:c r="D7" s="13" t="str">
        <x:v>Derived estimate</x:v>
      </x:c>
      <x:c r="E7" s="13" t="str">
        <x:v>https://docs.nvidia.com/nim/benchmarking/llm/latest/performance.html</x:v>
      </x:c>
      <x:c r="F7" s="13" t="str">
        <x:v>2026-07-15</x:v>
      </x:c>
      <x:c r="G7" s="13" t="str">
        <x:v>TTFT includes more than pure prefill; use as an analytical proxy, not a measured server rate.</x:v>
      </x:c>
    </x:row>
    <x:row r="8" ht="52" customHeight="1">
      <x:c r="A8" s="13" t="str">
        <x:v>Throughput</x:v>
      </x:c>
      <x:c r="B8" s="13" t="str">
        <x:v>GPT-OSS 20B maximum batch</x:v>
      </x:c>
      <x:c r="C8" s="13" t="str">
        <x:v>H100 785, H200 915, B200 2,645 output tok/s per GPU</x:v>
      </x:c>
      <x:c r="D8" s="13" t="str">
        <x:v>Published benchmark</x:v>
      </x:c>
      <x:c r="E8" s="13" t="str">
        <x:v>https://developer.nvidia.com/deep-learning-performance-training-inference/ai-inference</x:v>
      </x:c>
      <x:c r="F8" s="13" t="str">
        <x:v>2026-07-15</x:v>
      </x:c>
      <x:c r="G8" s="13" t="str">
        <x:v>Best-throughput capacity ceiling; FP8 on Hopper and FP4 on B200.</x:v>
      </x:c>
    </x:row>
    <x:row r="9" ht="52" customHeight="1">
      <x:c r="A9" s="13" t="str">
        <x:v>Throughput</x:v>
      </x:c>
      <x:c r="B9" s="13" t="str">
        <x:v>RTX PRO 6000 Qwen3-Coder 30B-A3B</x:v>
      </x:c>
      <x:c r="C9" s="13" t="str">
        <x:v>374 output tok/s, 32,768 input / 1,024 output</x:v>
      </x:c>
      <x:c r="D9" s="13" t="str">
        <x:v>Published benchmark</x:v>
      </x:c>
      <x:c r="E9" s="13" t="str">
        <x:v>https://developer.nvidia.com/deep-learning-performance-training-inference/ai-inference</x:v>
      </x:c>
      <x:c r="F9" s="13" t="str">
        <x:v>2026-07-15</x:v>
      </x:c>
      <x:c r="G9" s="13" t="str">
        <x:v>Prefill and host capex are estimated.</x:v>
      </x:c>
    </x:row>
    <x:row r="10" ht="52" customHeight="1">
      <x:c r="A10" s="13" t="str">
        <x:v>Power</x:v>
      </x:c>
      <x:c r="B10" s="13" t="str">
        <x:v>U.S. commercial electricity</x:v>
      </x:c>
      <x:c r="C10" s="13" t="str">
        <x:v>$0.1351/kWh</x:v>
      </x:c>
      <x:c r="D10" s="13" t="str">
        <x:v>Published</x:v>
      </x:c>
      <x:c r="E10" s="13" t="str">
        <x:v>https://www.eia.gov/electricity/monthly/epm_table_grapher.php?t=table_5_03</x:v>
      </x:c>
      <x:c r="F10" s="13" t="str">
        <x:v>2026-07-15</x:v>
      </x:c>
      <x:c r="G10" s="13" t="str">
        <x:v>April 2026 U.S. average.</x:v>
      </x:c>
    </x:row>
    <x:row r="11" ht="52" customHeight="1">
      <x:c r="A11" s="13" t="str">
        <x:v>Power</x:v>
      </x:c>
      <x:c r="B11" s="13" t="str">
        <x:v>North America PUE</x:v>
      </x:c>
      <x:c r="C11" s="13" t="str">
        <x:v>1.49</x:v>
      </x:c>
      <x:c r="D11" s="13" t="str">
        <x:v>Published</x:v>
      </x:c>
      <x:c r="E11" s="13" t="str">
        <x:v>https://intelligence.uptimeinstitute.com/sites/default/files/2025-08/UI%20Field%20report%20183_Annual%20survey%20-%20regional%20view%202025.pdf</x:v>
      </x:c>
      <x:c r="F11" s="13" t="str">
        <x:v>2026-07-15</x:v>
      </x:c>
      <x:c r="G11" s="13" t="str">
        <x:v>Used only for on-prem energy, not all-in colo.</x:v>
      </x:c>
    </x:row>
    <x:row r="12" ht="52" customHeight="1">
      <x:c r="A12" s="13" t="str">
        <x:v>Colocation</x:v>
      </x:c>
      <x:c r="B12" s="13" t="str">
        <x:v>IDACORE East</x:v>
      </x:c>
      <x:c r="C12" s="13" t="str">
        <x:v>$250/kW-month all-in</x:v>
      </x:c>
      <x:c r="D12" s="13" t="str">
        <x:v>Published rate / modeled extrapolation</x:v>
      </x:c>
      <x:c r="E12" s="13" t="str">
        <x:v>https://idacore.com/pricing</x:v>
      </x:c>
      <x:c r="F12" s="13" t="str">
        <x:v>2026-07-15</x:v>
      </x:c>
      <x:c r="G12" s="13" t="str">
        <x:v>Advertised for megawatt-scale AI deployments; single-server allocation is not a retail quote.</x:v>
      </x:c>
    </x:row>
    <x:row r="13" ht="52" customHeight="1">
      <x:c r="A13" s="13" t="str">
        <x:v>Colocation</x:v>
      </x:c>
      <x:c r="B13" s="13" t="str">
        <x:v>BluePod</x:v>
      </x:c>
      <x:c r="C13" s="13" t="str">
        <x:v>$6,000/month for 40kW; $800 setup</x:v>
      </x:c>
      <x:c r="D13" s="13" t="str">
        <x:v>Published</x:v>
      </x:c>
      <x:c r="E13" s="13" t="str">
        <x:v>https://bluepod.ai/pricing</x:v>
      </x:c>
      <x:c r="F13" s="13" t="str">
        <x:v>2026-07-15</x:v>
      </x:c>
      <x:c r="G13" s="13" t="str">
        <x:v>Shows rack minimum economics; not used in base model.</x:v>
      </x:c>
    </x:row>
    <x:row r="14" ht="52" customHeight="1">
      <x:c r="A14" s="13" t="str">
        <x:v>Owned hardware</x:v>
      </x:c>
      <x:c r="B14" s="13" t="str">
        <x:v>8x H200 Supermicro</x:v>
      </x:c>
      <x:c r="C14" s="13" t="str">
        <x:v>$317,508.64 starting</x:v>
      </x:c>
      <x:c r="D14" s="13" t="str">
        <x:v>Published</x:v>
      </x:c>
      <x:c r="E14" s="13" t="str">
        <x:v>https://store.supermicro.com/us_en/8u-gpu-superserver-sys-821ge-tnhr.html</x:v>
      </x:c>
      <x:c r="F14" s="13" t="str">
        <x:v>2026-07-15</x:v>
      </x:c>
      <x:c r="G14" s="13" t="str">
        <x:v>Starting configuration; procurement quote may differ.</x:v>
      </x:c>
    </x:row>
    <x:row r="15" ht="52" customHeight="1">
      <x:c r="A15" s="13" t="str">
        <x:v>Owned hardware</x:v>
      </x:c>
      <x:c r="B15" s="13" t="str">
        <x:v>8x B200 Exxact</x:v>
      </x:c>
      <x:c r="C15" s="13" t="str">
        <x:v>$383,856 configured</x:v>
      </x:c>
      <x:c r="D15" s="13" t="str">
        <x:v>Published</x:v>
      </x:c>
      <x:c r="E15" s="13" t="str">
        <x:v>https://configurator.exxactcorp.com/configure/TS4-124903244</x:v>
      </x:c>
      <x:c r="F15" s="13" t="str">
        <x:v>2026-07-15</x:v>
      </x:c>
      <x:c r="G15" s="13" t="str">
        <x:v>Configured Essential system with 3-year warranty.</x:v>
      </x:c>
    </x:row>
    <x:row r="16" ht="52" customHeight="1">
      <x:c r="A16" s="13" t="str">
        <x:v>Power</x:v>
      </x:c>
      <x:c r="B16" s="13" t="str">
        <x:v>H200 facility maximum proxy</x:v>
      </x:c>
      <x:c r="C16" s="13" t="str">
        <x:v>10.2 kW</x:v>
      </x:c>
      <x:c r="D16" s="13" t="str">
        <x:v>Published proxy</x:v>
      </x:c>
      <x:c r="E16" s="13" t="str">
        <x:v>https://docs.nvidia.com/dgx/dgxh100-user-guide/introduction-to-dgxh100.html</x:v>
      </x:c>
      <x:c r="F16" s="13" t="str">
        <x:v>2026-07-15</x:v>
      </x:c>
      <x:c r="G16" s="13" t="str">
        <x:v>DGX facility max applied to Supermicro as a proxy.</x:v>
      </x:c>
    </x:row>
    <x:row r="17" ht="52" customHeight="1">
      <x:c r="A17" s="13" t="str">
        <x:v>Power</x:v>
      </x:c>
      <x:c r="B17" s="13" t="str">
        <x:v>B200 server max</x:v>
      </x:c>
      <x:c r="C17" s="13" t="str">
        <x:v>14.083 kW estimator / 14.3 kW DGX</x:v>
      </x:c>
      <x:c r="D17" s="13" t="str">
        <x:v>Published</x:v>
      </x:c>
      <x:c r="E17" s="13" t="str">
        <x:v>https://www.nvidia.com/en-us/data-center/dgx-b200/</x:v>
      </x:c>
      <x:c r="F17" s="13" t="str">
        <x:v>2026-07-15</x:v>
      </x:c>
      <x:c r="G17" s="13" t="str">
        <x:v>Base model uses 14.083 kW from configured server estimator.</x:v>
      </x:c>
    </x:row>
    <x:row r="18" ht="52" customHeight="1">
      <x:c r="A18" s="13" t="str">
        <x:v>Capacity</x:v>
      </x:c>
      <x:c r="B18" s="13" t="str">
        <x:v>Node staircase</x:v>
      </x:c>
      <x:c r="C18" s="13" t="str">
        <x:v>ROUNDUP(monthly requests / node capacity)</x:v>
      </x:c>
      <x:c r="D18" s="13" t="str">
        <x:v>Model formula</x:v>
      </x:c>
      <x:c r="E18" s="13" t="str"/>
      <x:c r="F18" s="13" t="str">
        <x:v>2026-07-15</x:v>
      </x:c>
      <x:c r="G18" s="13" t="str">
        <x:v>Prevents a single node from serving unlimited volume.</x:v>
      </x:c>
    </x:row>
    <x:row r="19" ht="52" customHeight="1">
      <x:c r="A19" s="13" t="str">
        <x:v>API pricing</x:v>
      </x:c>
      <x:c r="B19" s="13" t="str">
        <x:v>Published vs estimated</x:v>
      </x:c>
      <x:c r="C19" s="13" t="str">
        <x:v>API token rows remain vendor-published</x:v>
      </x:c>
      <x:c r="D19" s="13" t="str">
        <x:v>Methodology</x:v>
      </x:c>
      <x:c r="E19" s="13" t="str"/>
      <x:c r="F19" s="13" t="str">
        <x:v>2026-07-15</x:v>
      </x:c>
      <x:c r="G19" s="13" t="str">
        <x:v>Only request-cost and blend columns are mechanical formulas.</x:v>
      </x:c>
    </x:row>
    <x:row r="20" ht="52" customHeight="1">
      <x:c r="A20" s="13" t="str">
        <x:v>Quality</x:v>
      </x:c>
      <x:c r="B20" s="13" t="str">
        <x:v>Capability tiers</x:v>
      </x:c>
      <x:c r="C20" s="13" t="str">
        <x:v>Editorial labels</x:v>
      </x:c>
      <x:c r="D20" s="13" t="str">
        <x:v>Analyst classification</x:v>
      </x:c>
      <x:c r="E20" s="13" t="str"/>
      <x:c r="F20" s="13" t="str">
        <x:v>2026-07-15</x:v>
      </x:c>
      <x:c r="G20" s="13" t="str">
        <x:v>No price/performance benchmark score is imposed; tiers prevent obvious false equivalence.</x:v>
      </x:c>
    </x:row>
    <x:row r="21" ht="52" customHeight="1">
      <x:c r="A21" s="13" t="str">
        <x:v>Excluded</x:v>
      </x:c>
      <x:c r="B21" s="13" t="str">
        <x:v>Enterprise discounts</x:v>
      </x:c>
      <x:c r="C21" s="13" t="str">
        <x:v>Not public / contract-specific</x:v>
      </x:c>
      <x:c r="D21" s="13" t="str">
        <x:v>Excluded</x:v>
      </x:c>
      <x:c r="E21" s="13" t="str"/>
      <x:c r="F21" s="13" t="str">
        <x:v>2026-07-15</x:v>
      </x:c>
      <x:c r="G21" s="13" t="str">
        <x:v>Can materially move API and reserved-throughput break-even points.</x:v>
      </x:c>
    </x:row>
    <x:row r="22" ht="52" customHeight="1">
      <x:c r="A22" s="13" t="str">
        <x:v>Excluded</x:v>
      </x:c>
      <x:c r="B22" s="13" t="str">
        <x:v>Staff, storage, networking, security</x:v>
      </x:c>
      <x:c r="C22" s="13" t="str">
        <x:v>Not in base TCO</x:v>
      </x:c>
      <x:c r="D22" s="13" t="str">
        <x:v>Excluded</x:v>
      </x:c>
      <x:c r="E22" s="13" t="str"/>
      <x:c r="F22" s="13" t="str">
        <x:v>2026-07-15</x:v>
      </x:c>
      <x:c r="G22" s="13" t="str">
        <x:v>Add these before procurement.</x:v>
      </x:c>
    </x:row>
  </x:sheetData>
  <x:mergeCells>
    <x:mergeCell ref="A1:G1"/>
    <x:mergeCell ref="A2:G2"/>
  </x:mergeCells>
  <x:conditionalFormatting sqref="D5:D22">
    <x:cfRule type="containsText" dxfId="14" priority="1" operator="containsText" text="Published"/>
    <x:cfRule type="containsText" dxfId="15" priority="2" operator="containsText" text="Live"/>
    <x:cfRule type="containsText" dxfId="16" priority="3" operator="containsText" text="Estimated"/>
    <x:cfRule type="containsText" dxfId="17" priority="4" operator="containsText" text="Derived"/>
  </x:conditionalFormatting>
  <x:pageMargins left="0.7" right="0.7" top="0.75" bottom="0.75" header="0.3" footer="0.3"/>
  <x:tableParts count="1">
    <x:tablePart xmlns:r="http://schemas.openxmlformats.org/officeDocument/2006/relationships" r:id="Rf08be8fcbe774685"/>
  </x:tableParts>
</x:worksheet>
</file>